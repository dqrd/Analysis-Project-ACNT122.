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f\Desktop\"/>
    </mc:Choice>
  </mc:AlternateContent>
  <xr:revisionPtr revIDLastSave="0" documentId="8_{D53522F9-021D-4CB8-A9CC-CB655F82C2D0}" xr6:coauthVersionLast="47" xr6:coauthVersionMax="47" xr10:uidLastSave="{00000000-0000-0000-0000-000000000000}"/>
  <bookViews>
    <workbookView xWindow="-108" yWindow="-108" windowWidth="23256" windowHeight="12456" activeTab="2" xr2:uid="{95B050A7-B192-40AB-94F0-CB90F3286CEC}"/>
  </bookViews>
  <sheets>
    <sheet name="Pivot Table 1" sheetId="3" r:id="rId1"/>
    <sheet name="Pivot Table 2" sheetId="4" r:id="rId2"/>
    <sheet name="Pivot Table 3" sheetId="5" r:id="rId3"/>
    <sheet name="Sheet after edit" sheetId="2" r:id="rId4"/>
    <sheet name="Sheet1" sheetId="1" r:id="rId5"/>
  </sheets>
  <definedNames>
    <definedName name="_xlnm._FilterDatabase" localSheetId="3" hidden="1">'Sheet after edit'!$A$1:$K$279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9" i="2" l="1"/>
  <c r="J279" i="2" s="1"/>
  <c r="J278" i="2"/>
  <c r="I278" i="2"/>
  <c r="J277" i="2"/>
  <c r="I277" i="2"/>
  <c r="J276" i="2"/>
  <c r="I276" i="2"/>
  <c r="I275" i="2"/>
  <c r="J275" i="2" s="1"/>
  <c r="J274" i="2"/>
  <c r="I274" i="2"/>
  <c r="J273" i="2"/>
  <c r="I273" i="2"/>
  <c r="J272" i="2"/>
  <c r="I272" i="2"/>
  <c r="I271" i="2"/>
  <c r="J271" i="2" s="1"/>
  <c r="J270" i="2"/>
  <c r="I270" i="2"/>
  <c r="J269" i="2"/>
  <c r="I269" i="2"/>
  <c r="J268" i="2"/>
  <c r="I268" i="2"/>
  <c r="I267" i="2"/>
  <c r="J267" i="2" s="1"/>
  <c r="J266" i="2"/>
  <c r="I266" i="2"/>
  <c r="J265" i="2"/>
  <c r="I265" i="2"/>
  <c r="J264" i="2"/>
  <c r="I264" i="2"/>
  <c r="I263" i="2"/>
  <c r="J263" i="2" s="1"/>
  <c r="J262" i="2"/>
  <c r="I262" i="2"/>
  <c r="J261" i="2"/>
  <c r="I261" i="2"/>
  <c r="J260" i="2"/>
  <c r="I260" i="2"/>
  <c r="I259" i="2"/>
  <c r="J259" i="2" s="1"/>
  <c r="J258" i="2"/>
  <c r="I258" i="2"/>
  <c r="J257" i="2"/>
  <c r="I257" i="2"/>
  <c r="J256" i="2"/>
  <c r="I256" i="2"/>
  <c r="I255" i="2"/>
  <c r="J255" i="2" s="1"/>
  <c r="J254" i="2"/>
  <c r="I254" i="2"/>
  <c r="J253" i="2"/>
  <c r="I253" i="2"/>
  <c r="J252" i="2"/>
  <c r="I252" i="2"/>
  <c r="I251" i="2"/>
  <c r="J251" i="2" s="1"/>
  <c r="J250" i="2"/>
  <c r="I250" i="2"/>
  <c r="J249" i="2"/>
  <c r="I249" i="2"/>
  <c r="J248" i="2"/>
  <c r="I248" i="2"/>
  <c r="I247" i="2"/>
  <c r="J247" i="2" s="1"/>
  <c r="J246" i="2"/>
  <c r="I246" i="2"/>
  <c r="J245" i="2"/>
  <c r="I245" i="2"/>
  <c r="J244" i="2"/>
  <c r="I244" i="2"/>
  <c r="I243" i="2"/>
  <c r="J243" i="2" s="1"/>
  <c r="J242" i="2"/>
  <c r="I242" i="2"/>
  <c r="J241" i="2"/>
  <c r="I241" i="2"/>
  <c r="J240" i="2"/>
  <c r="I240" i="2"/>
  <c r="I239" i="2"/>
  <c r="J239" i="2" s="1"/>
  <c r="J238" i="2"/>
  <c r="I238" i="2"/>
  <c r="J237" i="2"/>
  <c r="I237" i="2"/>
  <c r="J236" i="2"/>
  <c r="I236" i="2"/>
  <c r="I235" i="2"/>
  <c r="J235" i="2" s="1"/>
  <c r="J234" i="2"/>
  <c r="I234" i="2"/>
  <c r="J233" i="2"/>
  <c r="I233" i="2"/>
  <c r="J232" i="2"/>
  <c r="I232" i="2"/>
  <c r="I231" i="2"/>
  <c r="J231" i="2" s="1"/>
  <c r="J230" i="2"/>
  <c r="I230" i="2"/>
  <c r="J229" i="2"/>
  <c r="I229" i="2"/>
  <c r="J228" i="2"/>
  <c r="I228" i="2"/>
  <c r="I227" i="2"/>
  <c r="J227" i="2" s="1"/>
  <c r="J226" i="2"/>
  <c r="I226" i="2"/>
  <c r="J225" i="2"/>
  <c r="I225" i="2"/>
  <c r="J224" i="2"/>
  <c r="I224" i="2"/>
  <c r="I223" i="2"/>
  <c r="J223" i="2" s="1"/>
  <c r="J222" i="2"/>
  <c r="I222" i="2"/>
  <c r="J221" i="2"/>
  <c r="I221" i="2"/>
  <c r="J220" i="2"/>
  <c r="I220" i="2"/>
  <c r="I219" i="2"/>
  <c r="J219" i="2" s="1"/>
  <c r="J218" i="2"/>
  <c r="I218" i="2"/>
  <c r="J217" i="2"/>
  <c r="I217" i="2"/>
  <c r="J216" i="2"/>
  <c r="I216" i="2"/>
  <c r="I215" i="2"/>
  <c r="J215" i="2" s="1"/>
  <c r="J214" i="2"/>
  <c r="I214" i="2"/>
  <c r="J213" i="2"/>
  <c r="I213" i="2"/>
  <c r="J212" i="2"/>
  <c r="I212" i="2"/>
  <c r="I211" i="2"/>
  <c r="J211" i="2" s="1"/>
  <c r="J210" i="2"/>
  <c r="I210" i="2"/>
  <c r="J209" i="2"/>
  <c r="I209" i="2"/>
  <c r="J208" i="2"/>
  <c r="I208" i="2"/>
  <c r="I207" i="2"/>
  <c r="J207" i="2" s="1"/>
  <c r="J206" i="2"/>
  <c r="I206" i="2"/>
  <c r="J205" i="2"/>
  <c r="I205" i="2"/>
  <c r="J204" i="2"/>
  <c r="I204" i="2"/>
  <c r="I203" i="2"/>
  <c r="J203" i="2" s="1"/>
  <c r="J202" i="2"/>
  <c r="I202" i="2"/>
  <c r="J201" i="2"/>
  <c r="I201" i="2"/>
  <c r="J200" i="2"/>
  <c r="I200" i="2"/>
  <c r="I199" i="2"/>
  <c r="J199" i="2" s="1"/>
  <c r="J198" i="2"/>
  <c r="I198" i="2"/>
  <c r="J197" i="2"/>
  <c r="I197" i="2"/>
  <c r="J196" i="2"/>
  <c r="I196" i="2"/>
  <c r="I195" i="2"/>
  <c r="J195" i="2" s="1"/>
  <c r="J194" i="2"/>
  <c r="I194" i="2"/>
  <c r="J193" i="2"/>
  <c r="I193" i="2"/>
  <c r="J192" i="2"/>
  <c r="I192" i="2"/>
  <c r="I191" i="2"/>
  <c r="J191" i="2" s="1"/>
  <c r="J190" i="2"/>
  <c r="I190" i="2"/>
  <c r="J189" i="2"/>
  <c r="I189" i="2"/>
  <c r="J188" i="2"/>
  <c r="I188" i="2"/>
  <c r="I187" i="2"/>
  <c r="J187" i="2" s="1"/>
  <c r="J186" i="2"/>
  <c r="I186" i="2"/>
  <c r="J185" i="2"/>
  <c r="I185" i="2"/>
  <c r="J184" i="2"/>
  <c r="I184" i="2"/>
  <c r="I183" i="2"/>
  <c r="J183" i="2" s="1"/>
  <c r="J182" i="2"/>
  <c r="I182" i="2"/>
  <c r="J181" i="2"/>
  <c r="I181" i="2"/>
  <c r="J180" i="2"/>
  <c r="I180" i="2"/>
  <c r="I179" i="2"/>
  <c r="J179" i="2" s="1"/>
  <c r="J178" i="2"/>
  <c r="I178" i="2"/>
  <c r="J177" i="2"/>
  <c r="I177" i="2"/>
  <c r="J176" i="2"/>
  <c r="I176" i="2"/>
  <c r="I175" i="2"/>
  <c r="J175" i="2" s="1"/>
  <c r="J174" i="2"/>
  <c r="I174" i="2"/>
  <c r="J173" i="2"/>
  <c r="I173" i="2"/>
  <c r="J172" i="2"/>
  <c r="I172" i="2"/>
  <c r="I171" i="2"/>
  <c r="J171" i="2" s="1"/>
  <c r="J170" i="2"/>
  <c r="I170" i="2"/>
  <c r="J169" i="2"/>
  <c r="I169" i="2"/>
  <c r="J168" i="2"/>
  <c r="I168" i="2"/>
  <c r="I167" i="2"/>
  <c r="J167" i="2" s="1"/>
  <c r="J166" i="2"/>
  <c r="I166" i="2"/>
  <c r="J165" i="2"/>
  <c r="I165" i="2"/>
  <c r="J164" i="2"/>
  <c r="I164" i="2"/>
  <c r="I163" i="2"/>
  <c r="J163" i="2" s="1"/>
  <c r="J162" i="2"/>
  <c r="I162" i="2"/>
  <c r="J161" i="2"/>
  <c r="I161" i="2"/>
  <c r="J160" i="2"/>
  <c r="I160" i="2"/>
  <c r="I159" i="2"/>
  <c r="J159" i="2" s="1"/>
  <c r="J158" i="2"/>
  <c r="I158" i="2"/>
  <c r="J157" i="2"/>
  <c r="I157" i="2"/>
  <c r="J156" i="2"/>
  <c r="I156" i="2"/>
  <c r="I155" i="2"/>
  <c r="J155" i="2" s="1"/>
  <c r="J154" i="2"/>
  <c r="I154" i="2"/>
  <c r="J153" i="2"/>
  <c r="I153" i="2"/>
  <c r="J152" i="2"/>
  <c r="I152" i="2"/>
  <c r="I151" i="2"/>
  <c r="J151" i="2" s="1"/>
  <c r="J150" i="2"/>
  <c r="I150" i="2"/>
  <c r="J149" i="2"/>
  <c r="I149" i="2"/>
  <c r="J148" i="2"/>
  <c r="I148" i="2"/>
  <c r="I147" i="2"/>
  <c r="J147" i="2" s="1"/>
  <c r="J146" i="2"/>
  <c r="I146" i="2"/>
  <c r="J145" i="2"/>
  <c r="I145" i="2"/>
  <c r="J144" i="2"/>
  <c r="I144" i="2"/>
  <c r="I143" i="2"/>
  <c r="J143" i="2" s="1"/>
  <c r="J142" i="2"/>
  <c r="I142" i="2"/>
  <c r="J141" i="2"/>
  <c r="I141" i="2"/>
  <c r="J140" i="2"/>
  <c r="I140" i="2"/>
  <c r="I139" i="2"/>
  <c r="J139" i="2" s="1"/>
  <c r="J138" i="2"/>
  <c r="I138" i="2"/>
  <c r="J137" i="2"/>
  <c r="I137" i="2"/>
  <c r="J136" i="2"/>
  <c r="I136" i="2"/>
  <c r="I135" i="2"/>
  <c r="J135" i="2" s="1"/>
  <c r="J134" i="2"/>
  <c r="I134" i="2"/>
  <c r="J133" i="2"/>
  <c r="I133" i="2"/>
  <c r="J132" i="2"/>
  <c r="I132" i="2"/>
  <c r="I131" i="2"/>
  <c r="J131" i="2" s="1"/>
  <c r="J130" i="2"/>
  <c r="I130" i="2"/>
  <c r="J129" i="2"/>
  <c r="I129" i="2"/>
  <c r="J128" i="2"/>
  <c r="I128" i="2"/>
  <c r="I127" i="2"/>
  <c r="J127" i="2" s="1"/>
  <c r="J126" i="2"/>
  <c r="I126" i="2"/>
  <c r="J125" i="2"/>
  <c r="I125" i="2"/>
  <c r="J124" i="2"/>
  <c r="I124" i="2"/>
  <c r="I123" i="2"/>
  <c r="J123" i="2" s="1"/>
  <c r="J122" i="2"/>
  <c r="I122" i="2"/>
  <c r="J121" i="2"/>
  <c r="I121" i="2"/>
  <c r="J120" i="2"/>
  <c r="I120" i="2"/>
  <c r="I119" i="2"/>
  <c r="J119" i="2" s="1"/>
  <c r="J118" i="2"/>
  <c r="I118" i="2"/>
  <c r="J117" i="2"/>
  <c r="I117" i="2"/>
  <c r="J116" i="2"/>
  <c r="I116" i="2"/>
  <c r="I115" i="2"/>
  <c r="J115" i="2" s="1"/>
  <c r="J114" i="2"/>
  <c r="I114" i="2"/>
  <c r="J113" i="2"/>
  <c r="I113" i="2"/>
  <c r="J112" i="2"/>
  <c r="I112" i="2"/>
  <c r="I111" i="2"/>
  <c r="J111" i="2" s="1"/>
  <c r="J110" i="2"/>
  <c r="I110" i="2"/>
  <c r="J109" i="2"/>
  <c r="I109" i="2"/>
  <c r="J108" i="2"/>
  <c r="I108" i="2"/>
  <c r="I107" i="2"/>
  <c r="J107" i="2" s="1"/>
  <c r="J106" i="2"/>
  <c r="I106" i="2"/>
  <c r="J105" i="2"/>
  <c r="I105" i="2"/>
  <c r="J104" i="2"/>
  <c r="I104" i="2"/>
  <c r="I103" i="2"/>
  <c r="J103" i="2" s="1"/>
  <c r="J102" i="2"/>
  <c r="I102" i="2"/>
  <c r="J101" i="2"/>
  <c r="I101" i="2"/>
  <c r="J100" i="2"/>
  <c r="I100" i="2"/>
  <c r="I99" i="2"/>
  <c r="J99" i="2" s="1"/>
  <c r="J98" i="2"/>
  <c r="I98" i="2"/>
  <c r="J97" i="2"/>
  <c r="I97" i="2"/>
  <c r="J96" i="2"/>
  <c r="I96" i="2"/>
  <c r="I95" i="2"/>
  <c r="J95" i="2" s="1"/>
  <c r="J94" i="2"/>
  <c r="I94" i="2"/>
  <c r="J93" i="2"/>
  <c r="I93" i="2"/>
  <c r="J92" i="2"/>
  <c r="I92" i="2"/>
  <c r="I91" i="2"/>
  <c r="J91" i="2" s="1"/>
  <c r="J90" i="2"/>
  <c r="I90" i="2"/>
  <c r="J89" i="2"/>
  <c r="I89" i="2"/>
  <c r="J88" i="2"/>
  <c r="I88" i="2"/>
  <c r="I87" i="2"/>
  <c r="J87" i="2" s="1"/>
  <c r="J86" i="2"/>
  <c r="I86" i="2"/>
  <c r="J85" i="2"/>
  <c r="I85" i="2"/>
  <c r="J84" i="2"/>
  <c r="I84" i="2"/>
  <c r="I83" i="2"/>
  <c r="J83" i="2" s="1"/>
  <c r="J82" i="2"/>
  <c r="I82" i="2"/>
  <c r="J81" i="2"/>
  <c r="I81" i="2"/>
  <c r="J80" i="2"/>
  <c r="I80" i="2"/>
  <c r="I79" i="2"/>
  <c r="J79" i="2" s="1"/>
  <c r="J78" i="2"/>
  <c r="I78" i="2"/>
  <c r="J77" i="2"/>
  <c r="I77" i="2"/>
  <c r="J76" i="2"/>
  <c r="I76" i="2"/>
  <c r="I75" i="2"/>
  <c r="J75" i="2" s="1"/>
  <c r="J74" i="2"/>
  <c r="I74" i="2"/>
  <c r="J73" i="2"/>
  <c r="I73" i="2"/>
  <c r="J72" i="2"/>
  <c r="I72" i="2"/>
  <c r="I71" i="2"/>
  <c r="J71" i="2" s="1"/>
  <c r="J70" i="2"/>
  <c r="I70" i="2"/>
  <c r="J69" i="2"/>
  <c r="I69" i="2"/>
  <c r="J68" i="2"/>
  <c r="I68" i="2"/>
  <c r="I67" i="2"/>
  <c r="J67" i="2" s="1"/>
  <c r="J66" i="2"/>
  <c r="I66" i="2"/>
  <c r="J65" i="2"/>
  <c r="I65" i="2"/>
  <c r="J64" i="2"/>
  <c r="I64" i="2"/>
  <c r="I63" i="2"/>
  <c r="J63" i="2" s="1"/>
  <c r="J62" i="2"/>
  <c r="I62" i="2"/>
  <c r="J61" i="2"/>
  <c r="I61" i="2"/>
  <c r="J60" i="2"/>
  <c r="I60" i="2"/>
  <c r="I59" i="2"/>
  <c r="J59" i="2" s="1"/>
  <c r="J58" i="2"/>
  <c r="I58" i="2"/>
  <c r="J57" i="2"/>
  <c r="I57" i="2"/>
  <c r="J56" i="2"/>
  <c r="I56" i="2"/>
  <c r="I55" i="2"/>
  <c r="J55" i="2" s="1"/>
  <c r="J54" i="2"/>
  <c r="I54" i="2"/>
  <c r="J53" i="2"/>
  <c r="I53" i="2"/>
  <c r="J52" i="2"/>
  <c r="I52" i="2"/>
  <c r="I51" i="2"/>
  <c r="J51" i="2" s="1"/>
  <c r="J50" i="2"/>
  <c r="I50" i="2"/>
  <c r="J49" i="2"/>
  <c r="I49" i="2"/>
  <c r="J48" i="2"/>
  <c r="I48" i="2"/>
  <c r="I47" i="2"/>
  <c r="J47" i="2" s="1"/>
  <c r="J46" i="2"/>
  <c r="I46" i="2"/>
  <c r="J45" i="2"/>
  <c r="I45" i="2"/>
  <c r="J44" i="2"/>
  <c r="I44" i="2"/>
  <c r="I43" i="2"/>
  <c r="J43" i="2" s="1"/>
  <c r="J42" i="2"/>
  <c r="I42" i="2"/>
  <c r="J41" i="2"/>
  <c r="I41" i="2"/>
  <c r="J40" i="2"/>
  <c r="I40" i="2"/>
  <c r="I39" i="2"/>
  <c r="J39" i="2" s="1"/>
  <c r="J38" i="2"/>
  <c r="I38" i="2"/>
  <c r="J37" i="2"/>
  <c r="I37" i="2"/>
  <c r="J36" i="2"/>
  <c r="I36" i="2"/>
  <c r="I35" i="2"/>
  <c r="J35" i="2" s="1"/>
  <c r="J34" i="2"/>
  <c r="I34" i="2"/>
  <c r="J33" i="2"/>
  <c r="I33" i="2"/>
  <c r="J32" i="2"/>
  <c r="I32" i="2"/>
  <c r="I31" i="2"/>
  <c r="J31" i="2" s="1"/>
  <c r="J30" i="2"/>
  <c r="I30" i="2"/>
  <c r="J29" i="2"/>
  <c r="I29" i="2"/>
  <c r="J28" i="2"/>
  <c r="I28" i="2"/>
  <c r="I27" i="2"/>
  <c r="J27" i="2" s="1"/>
  <c r="J26" i="2"/>
  <c r="I26" i="2"/>
  <c r="J25" i="2"/>
  <c r="I25" i="2"/>
  <c r="N24" i="2"/>
  <c r="I24" i="2"/>
  <c r="J24" i="2" s="1"/>
  <c r="N23" i="2"/>
  <c r="J23" i="2"/>
  <c r="I23" i="2"/>
  <c r="N22" i="2"/>
  <c r="I22" i="2"/>
  <c r="J22" i="2" s="1"/>
  <c r="N21" i="2"/>
  <c r="I21" i="2"/>
  <c r="J21" i="2" s="1"/>
  <c r="N20" i="2"/>
  <c r="I20" i="2"/>
  <c r="J20" i="2" s="1"/>
  <c r="I19" i="2"/>
  <c r="J19" i="2" s="1"/>
  <c r="I18" i="2"/>
  <c r="J18" i="2" s="1"/>
  <c r="N17" i="2"/>
  <c r="J17" i="2"/>
  <c r="I17" i="2"/>
  <c r="N16" i="2"/>
  <c r="I16" i="2"/>
  <c r="J16" i="2" s="1"/>
  <c r="N15" i="2"/>
  <c r="I15" i="2"/>
  <c r="J15" i="2" s="1"/>
  <c r="N14" i="2"/>
  <c r="I14" i="2"/>
  <c r="J14" i="2" s="1"/>
  <c r="N13" i="2"/>
  <c r="I13" i="2"/>
  <c r="J13" i="2" s="1"/>
  <c r="P12" i="2"/>
  <c r="J12" i="2"/>
  <c r="I12" i="2"/>
  <c r="I11" i="2"/>
  <c r="J11" i="2" s="1"/>
  <c r="N10" i="2"/>
  <c r="I10" i="2"/>
  <c r="J10" i="2" s="1"/>
  <c r="N9" i="2"/>
  <c r="J9" i="2"/>
  <c r="I9" i="2"/>
  <c r="N8" i="2"/>
  <c r="J8" i="2"/>
  <c r="I8" i="2"/>
  <c r="N7" i="2"/>
  <c r="J7" i="2"/>
  <c r="I7" i="2"/>
  <c r="P6" i="2"/>
  <c r="N6" i="2"/>
  <c r="J6" i="2"/>
  <c r="I6" i="2"/>
  <c r="I5" i="2"/>
  <c r="J5" i="2" s="1"/>
  <c r="P9" i="2" s="1"/>
  <c r="J4" i="2"/>
  <c r="I4" i="2"/>
  <c r="J3" i="2"/>
  <c r="I3" i="2"/>
  <c r="J2" i="2"/>
  <c r="I2" i="2"/>
</calcChain>
</file>

<file path=xl/sharedStrings.xml><?xml version="1.0" encoding="utf-8"?>
<sst xmlns="http://schemas.openxmlformats.org/spreadsheetml/2006/main" count="902" uniqueCount="326">
  <si>
    <t>Order ID</t>
  </si>
  <si>
    <t>Order Code</t>
  </si>
  <si>
    <t>Order Date</t>
  </si>
  <si>
    <t>Item Type</t>
  </si>
  <si>
    <t>Region</t>
  </si>
  <si>
    <t>Units Sold</t>
  </si>
  <si>
    <t>Unit Price</t>
  </si>
  <si>
    <t>Unit Cost</t>
  </si>
  <si>
    <t>Total Revenue</t>
  </si>
  <si>
    <t>Total Profit</t>
  </si>
  <si>
    <t>Customer Age</t>
  </si>
  <si>
    <t>ORD-002</t>
  </si>
  <si>
    <t>Snacks</t>
  </si>
  <si>
    <t>East</t>
  </si>
  <si>
    <t>ORD-003</t>
  </si>
  <si>
    <t>Electronics</t>
  </si>
  <si>
    <t>South</t>
  </si>
  <si>
    <t>ORD-004</t>
  </si>
  <si>
    <t>North</t>
  </si>
  <si>
    <t>ORD-005</t>
  </si>
  <si>
    <t>Unit Sold</t>
  </si>
  <si>
    <t>Correlation Between Unit Sold &amp; Total Revenue</t>
  </si>
  <si>
    <t>ORD-006</t>
  </si>
  <si>
    <t>Clothes</t>
  </si>
  <si>
    <t>Mean</t>
  </si>
  <si>
    <t>ORD-007</t>
  </si>
  <si>
    <t>Median</t>
  </si>
  <si>
    <t>ORD-008</t>
  </si>
  <si>
    <t>Mode</t>
  </si>
  <si>
    <t>Correlation Between Unit Price &amp; Total Profit</t>
  </si>
  <si>
    <t>ORD-009</t>
  </si>
  <si>
    <t>Range</t>
  </si>
  <si>
    <t>ORD-010</t>
  </si>
  <si>
    <t>West</t>
  </si>
  <si>
    <t>Standard Deviation</t>
  </si>
  <si>
    <t>ORD-011</t>
  </si>
  <si>
    <t>Beverages</t>
  </si>
  <si>
    <t>Correlation Between Customer Age &amp; Units Sold</t>
  </si>
  <si>
    <t>ORD-012</t>
  </si>
  <si>
    <t>ORD-014</t>
  </si>
  <si>
    <t>ORD-015</t>
  </si>
  <si>
    <t>ORD-016</t>
  </si>
  <si>
    <t>ORD-017</t>
  </si>
  <si>
    <t>ORD-018</t>
  </si>
  <si>
    <t>ORD-019</t>
  </si>
  <si>
    <t>Cosmetics</t>
  </si>
  <si>
    <t>ORD-020</t>
  </si>
  <si>
    <t>ORD-021</t>
  </si>
  <si>
    <t>ORD-022</t>
  </si>
  <si>
    <t>ORD-023</t>
  </si>
  <si>
    <t>ORD-024</t>
  </si>
  <si>
    <t>ORD-025</t>
  </si>
  <si>
    <t>ORD-026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</si>
  <si>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</si>
  <si>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</si>
  <si>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</si>
  <si>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</si>
  <si>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</si>
  <si>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</si>
  <si>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</si>
  <si>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</si>
  <si>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</si>
  <si>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</si>
  <si>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</si>
  <si>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</si>
  <si>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</si>
  <si>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ORD-041</t>
  </si>
  <si>
    <t>ORD-042</t>
  </si>
  <si>
    <t>ORD-043</t>
  </si>
  <si>
    <t>ORD-044</t>
  </si>
  <si>
    <t>ORD-045</t>
  </si>
  <si>
    <t>ORD-046</t>
  </si>
  <si>
    <t>ORD-047</t>
  </si>
  <si>
    <t>ORD-049</t>
  </si>
  <si>
    <t>ORD-050</t>
  </si>
  <si>
    <t>ORD-051</t>
  </si>
  <si>
    <t>ORD-053</t>
  </si>
  <si>
    <t>ORD-054</t>
  </si>
  <si>
    <t>ORD-055</t>
  </si>
  <si>
    <t>ORD-056</t>
  </si>
  <si>
    <t>ORD-057</t>
  </si>
  <si>
    <t>ORD-058</t>
  </si>
  <si>
    <t>ORD-060</t>
  </si>
  <si>
    <t>ORD-061</t>
  </si>
  <si>
    <t>ORD-062</t>
  </si>
  <si>
    <t>ORD-063</t>
  </si>
  <si>
    <t>ORD-065</t>
  </si>
  <si>
    <t>ORD-066</t>
  </si>
  <si>
    <t>ORD-067</t>
  </si>
  <si>
    <t>ORD-068</t>
  </si>
  <si>
    <t>ORD-069</t>
  </si>
  <si>
    <t>ORD-070</t>
  </si>
  <si>
    <t>ORD-071</t>
  </si>
  <si>
    <t>ORD-072</t>
  </si>
  <si>
    <t>ORD-073</t>
  </si>
  <si>
    <t>ORD-074</t>
  </si>
  <si>
    <t>ORD-076</t>
  </si>
  <si>
    <t>ORD-077</t>
  </si>
  <si>
    <t>ORD-078</t>
  </si>
  <si>
    <t>ORD-079</t>
  </si>
  <si>
    <t>ORD-080</t>
  </si>
  <si>
    <t>ORD-081</t>
  </si>
  <si>
    <t>ORD-082</t>
  </si>
  <si>
    <t>ORD-083</t>
  </si>
  <si>
    <t>ORD-084</t>
  </si>
  <si>
    <t>ORD-085</t>
  </si>
  <si>
    <t>ORD-087</t>
  </si>
  <si>
    <t>ORD-088</t>
  </si>
  <si>
    <t>ORD-091</t>
  </si>
  <si>
    <t>ORD-092</t>
  </si>
  <si>
    <t>ORD-093</t>
  </si>
  <si>
    <t>ORD-094</t>
  </si>
  <si>
    <t>ORD-095</t>
  </si>
  <si>
    <t>ORD-096</t>
  </si>
  <si>
    <t>ORD-099</t>
  </si>
  <si>
    <t>ORD-100</t>
  </si>
  <si>
    <t>ORD-101</t>
  </si>
  <si>
    <t>ORD-102</t>
  </si>
  <si>
    <t>ORD-103</t>
  </si>
  <si>
    <t>ORD-104</t>
  </si>
  <si>
    <t>ORD-105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</si>
  <si>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</si>
  <si>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</si>
  <si>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</si>
  <si>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</si>
  <si>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</si>
  <si>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</si>
  <si>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</si>
  <si>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</si>
  <si>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</si>
  <si>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</si>
  <si>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</si>
  <si>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</si>
  <si>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</si>
  <si>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ORD-120</t>
  </si>
  <si>
    <t>ORD-121</t>
  </si>
  <si>
    <t>ORD-122</t>
  </si>
  <si>
    <t>ORD-123</t>
  </si>
  <si>
    <t>ORD-124</t>
  </si>
  <si>
    <t>ORD-126</t>
  </si>
  <si>
    <t>ORD-127</t>
  </si>
  <si>
    <t>ORD-128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</si>
  <si>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</si>
  <si>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</si>
  <si>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</si>
  <si>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</si>
  <si>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</si>
  <si>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</si>
  <si>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</si>
  <si>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</si>
  <si>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</si>
  <si>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</si>
  <si>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</si>
  <si>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</si>
  <si>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</si>
  <si>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</si>
  <si>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ORD-146</t>
  </si>
  <si>
    <t>ORD-148</t>
  </si>
  <si>
    <t>ORD-150</t>
  </si>
  <si>
    <t>ORD-151</t>
  </si>
  <si>
    <t>ORD-152</t>
  </si>
  <si>
    <t>ORD-155</t>
  </si>
  <si>
    <t>ORD-156</t>
  </si>
  <si>
    <t>ORD-157</t>
  </si>
  <si>
    <t>ORD-158</t>
  </si>
  <si>
    <t>ORD-159</t>
  </si>
  <si>
    <t>ORD-160</t>
  </si>
  <si>
    <t>ORD-161</t>
  </si>
  <si>
    <t>ORD-162</t>
  </si>
  <si>
    <t>ORD-163</t>
  </si>
  <si>
    <t>ORD-164</t>
  </si>
  <si>
    <t>ORD-165</t>
  </si>
  <si>
    <t>ORD-166</t>
  </si>
  <si>
    <t>ORD-167</t>
  </si>
  <si>
    <t>ORD-168</t>
  </si>
  <si>
    <t>ORD-169</t>
  </si>
  <si>
    <t>ORD-170</t>
  </si>
  <si>
    <t>ORD-171</t>
  </si>
  <si>
    <t>ORD-172</t>
  </si>
  <si>
    <t>ORD-173</t>
  </si>
  <si>
    <t>ORD-174</t>
  </si>
  <si>
    <t>ORD-175</t>
  </si>
  <si>
    <t>ORD-176</t>
  </si>
  <si>
    <t>ORD-177</t>
  </si>
  <si>
    <t>ORD-178</t>
  </si>
  <si>
    <t>ORD-179</t>
  </si>
  <si>
    <t>ORD-180</t>
  </si>
  <si>
    <t>ORD-181</t>
  </si>
  <si>
    <t>ORD-182</t>
  </si>
  <si>
    <t>ORD-183</t>
  </si>
  <si>
    <t>ORD-184</t>
  </si>
  <si>
    <t>ORD-185</t>
  </si>
  <si>
    <t>ORD-186</t>
  </si>
  <si>
    <t>ORD-187</t>
  </si>
  <si>
    <t>ORD-188</t>
  </si>
  <si>
    <t>ORD-189</t>
  </si>
  <si>
    <t>ORD-190</t>
  </si>
  <si>
    <t>ORD-191</t>
  </si>
  <si>
    <t>ORD-192</t>
  </si>
  <si>
    <t>ORD-193</t>
  </si>
  <si>
    <t>ORD-194</t>
  </si>
  <si>
    <t>ORD-195</t>
  </si>
  <si>
    <t>ORD-196</t>
  </si>
  <si>
    <t>ORD-197</t>
  </si>
  <si>
    <t>ORD-198</t>
  </si>
  <si>
    <t>ORD-199</t>
  </si>
  <si>
    <t>ORD-200</t>
  </si>
  <si>
    <t>ORD-201</t>
  </si>
  <si>
    <t>ORD-202</t>
  </si>
  <si>
    <t>ORD-203</t>
  </si>
  <si>
    <t>ORD-204</t>
  </si>
  <si>
    <t>ORD-205</t>
  </si>
  <si>
    <t>ORD-206</t>
  </si>
  <si>
    <t>ORD-207</t>
  </si>
  <si>
    <t>ORD-208</t>
  </si>
  <si>
    <t>ORD-209</t>
  </si>
  <si>
    <t>ORD-210</t>
  </si>
  <si>
    <t>ORD-211</t>
  </si>
  <si>
    <t>ORD-212</t>
  </si>
  <si>
    <t>ORD-213</t>
  </si>
  <si>
    <t>ORD-214</t>
  </si>
  <si>
    <t>ORD-215</t>
  </si>
  <si>
    <t>ORD-216</t>
  </si>
  <si>
    <t>ORD-217</t>
  </si>
  <si>
    <t>ORD-218</t>
  </si>
  <si>
    <t>ORD-219</t>
  </si>
  <si>
    <t>ORD-220</t>
  </si>
  <si>
    <t>ORD-221</t>
  </si>
  <si>
    <t>ORD-222</t>
  </si>
  <si>
    <t>ORD-223</t>
  </si>
  <si>
    <t>ORD-224</t>
  </si>
  <si>
    <t>ORD-225</t>
  </si>
  <si>
    <t>ORD-226</t>
  </si>
  <si>
    <t>ORD-227</t>
  </si>
  <si>
    <t>ORD-228</t>
  </si>
  <si>
    <t>ORD-229</t>
  </si>
  <si>
    <t>ORD-230</t>
  </si>
  <si>
    <t>ORD-231</t>
  </si>
  <si>
    <t>ORD-232</t>
  </si>
  <si>
    <t>ORD-233</t>
  </si>
  <si>
    <t>ORD-234</t>
  </si>
  <si>
    <t>ORD-235</t>
  </si>
  <si>
    <t>ORD-236</t>
  </si>
  <si>
    <t>ORD-237</t>
  </si>
  <si>
    <t>ORD-238</t>
  </si>
  <si>
    <t>ORD-239</t>
  </si>
  <si>
    <t>ORD-240</t>
  </si>
  <si>
    <t>ORD-241</t>
  </si>
  <si>
    <t>ORD-242</t>
  </si>
  <si>
    <t>ORD-243</t>
  </si>
  <si>
    <t>ORD-244</t>
  </si>
  <si>
    <t>ORD-245</t>
  </si>
  <si>
    <t>ORD-246</t>
  </si>
  <si>
    <t>ORD-247</t>
  </si>
  <si>
    <t>ORD-248</t>
  </si>
  <si>
    <t>ORD-249</t>
  </si>
  <si>
    <t>ORD-250</t>
  </si>
  <si>
    <t>ORD-251</t>
  </si>
  <si>
    <t>ORD-252</t>
  </si>
  <si>
    <t>ORD-253</t>
  </si>
  <si>
    <t>ORD-254</t>
  </si>
  <si>
    <t>ORD-255</t>
  </si>
  <si>
    <t>ORD-256</t>
  </si>
  <si>
    <t>ORD-257</t>
  </si>
  <si>
    <t>ORD-258</t>
  </si>
  <si>
    <t>ORD-259</t>
  </si>
  <si>
    <t>ORD-260</t>
  </si>
  <si>
    <t>ORD-261</t>
  </si>
  <si>
    <t>ORD-262</t>
  </si>
  <si>
    <t>ORD-263</t>
  </si>
  <si>
    <t>ORD-264</t>
  </si>
  <si>
    <t>ORD-265</t>
  </si>
  <si>
    <t>ORD-266</t>
  </si>
  <si>
    <t>ORD-267</t>
  </si>
  <si>
    <t>ORD-268</t>
  </si>
  <si>
    <t>ORD-269</t>
  </si>
  <si>
    <t>ORD-270</t>
  </si>
  <si>
    <t>ORD-271</t>
  </si>
  <si>
    <t>ORD-272</t>
  </si>
  <si>
    <t>ORD-273</t>
  </si>
  <si>
    <t>ORD-274</t>
  </si>
  <si>
    <t>ORD-275</t>
  </si>
  <si>
    <t>ORD-276</t>
  </si>
  <si>
    <t>ORD-277</t>
  </si>
  <si>
    <t>ORD-278</t>
  </si>
  <si>
    <t>ORD-279</t>
  </si>
  <si>
    <t>ORD-280</t>
  </si>
  <si>
    <t>ORD-281</t>
  </si>
  <si>
    <t>ORD-282</t>
  </si>
  <si>
    <t>ORD-283</t>
  </si>
  <si>
    <t>ORD-284</t>
  </si>
  <si>
    <t>ORD-285</t>
  </si>
  <si>
    <t>ORD-286</t>
  </si>
  <si>
    <t>ORD-287</t>
  </si>
  <si>
    <t>ORD-288</t>
  </si>
  <si>
    <t>ORD-289</t>
  </si>
  <si>
    <t>ORD-290</t>
  </si>
  <si>
    <t>ORD-291</t>
  </si>
  <si>
    <t>ORD-292</t>
  </si>
  <si>
    <t>ORD-293</t>
  </si>
  <si>
    <t>ORD-294</t>
  </si>
  <si>
    <t>ORD-295</t>
  </si>
  <si>
    <t>ORD-296</t>
  </si>
  <si>
    <t>ORD-297</t>
  </si>
  <si>
    <t>ORD-298</t>
  </si>
  <si>
    <t>ORD-299</t>
  </si>
  <si>
    <t>ORD-300</t>
  </si>
  <si>
    <t>Sum of Total Revenue</t>
  </si>
  <si>
    <t>Sum of Total Profit</t>
  </si>
  <si>
    <t>Average of Customer Age</t>
  </si>
  <si>
    <t>تسميات الصفوف</t>
  </si>
  <si>
    <t>الإجمالي الكلي</t>
  </si>
  <si>
    <t>يناير</t>
  </si>
  <si>
    <t>مارس</t>
  </si>
  <si>
    <t>أبريل</t>
  </si>
  <si>
    <t>فبراير</t>
  </si>
  <si>
    <t>مايو</t>
  </si>
  <si>
    <t>يونيو</t>
  </si>
  <si>
    <t>يوليو</t>
  </si>
  <si>
    <t>أغسطس</t>
  </si>
  <si>
    <t>سبتمبر</t>
  </si>
  <si>
    <t>أكتوبر</t>
  </si>
  <si>
    <r>
      <t>Developed py : Joury</t>
    </r>
    <r>
      <rPr>
        <sz val="20"/>
        <color rgb="FF000000"/>
        <rFont val="Times New Roman"/>
        <family val="1"/>
      </rPr>
      <t>(Dif) AI-Mutairi</t>
    </r>
  </si>
  <si>
    <t xml:space="preserve"> </t>
  </si>
  <si>
    <t>For professional inquiries, visit my LinkedIn profile:</t>
  </si>
  <si>
    <t xml:space="preserve">linkedin.com/in/joury-al-mutairi-684573357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</si>
</sst>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4" tint="-0.249977111117893"/>
      <name val="Arial"/>
      <family val="2"/>
      <scheme val="minor"/>
    </font>
    <font>
      <b/>
      <sz val="12"/>
      <color rgb="FF000000"/>
      <name val="Times New Roman"/>
      <family val="1"/>
    </font>
    <font>
      <b/>
      <sz val="20"/>
      <color rgb="FF000000"/>
      <name val="Times New Roman"/>
      <family val="1"/>
    </font>
    <font>
      <sz val="20"/>
      <color rgb="FF000000"/>
      <name val="Times New Roman"/>
      <family val="1"/>
    </font>
    <font>
      <b/>
      <sz val="16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/>
    <xf numFmtId="0" fontId="3" fillId="2" borderId="2" xfId="0" applyFont="1" applyFill="1" applyBorder="1"/>
    <xf numFmtId="0" fontId="2" fillId="0" borderId="2" xfId="0" applyFont="1" applyBorder="1"/>
    <xf numFmtId="0" fontId="3" fillId="0" borderId="2" xfId="0" applyFont="1" applyBorder="1"/>
    <xf numFmtId="0" fontId="4" fillId="7" borderId="2" xfId="0" applyFont="1" applyFill="1" applyBorder="1"/>
    <xf numFmtId="0" fontId="3" fillId="6" borderId="2" xfId="0" applyFont="1" applyFill="1" applyBorder="1"/>
    <xf numFmtId="0" fontId="4" fillId="0" borderId="2" xfId="0" applyFont="1" applyBorder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right"/>
    </xf>
    <xf numFmtId="0" fontId="2" fillId="6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NumberForma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عادي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[Data_Analysis_Project_Joury_v1.xlsx]Pivot Table 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3'!$A$4:$A$14</c:f>
              <c:strCache>
                <c:ptCount val="10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</c:strCache>
            </c:strRef>
          </c:cat>
          <c:val>
            <c:numRef>
              <c:f>'Pivot Table 3'!$B$4:$B$14</c:f>
              <c:numCache>
                <c:formatCode>General</c:formatCode>
                <c:ptCount val="10"/>
                <c:pt idx="0">
                  <c:v>35.392857142857146</c:v>
                </c:pt>
                <c:pt idx="1">
                  <c:v>41</c:v>
                </c:pt>
                <c:pt idx="2">
                  <c:v>44.142857142857146</c:v>
                </c:pt>
                <c:pt idx="3">
                  <c:v>46</c:v>
                </c:pt>
                <c:pt idx="4">
                  <c:v>49.208333333333336</c:v>
                </c:pt>
                <c:pt idx="5">
                  <c:v>47.866666666666667</c:v>
                </c:pt>
                <c:pt idx="6">
                  <c:v>40.064516129032256</c:v>
                </c:pt>
                <c:pt idx="7">
                  <c:v>40.161290322580648</c:v>
                </c:pt>
                <c:pt idx="8">
                  <c:v>45.466666666666669</c:v>
                </c:pt>
                <c:pt idx="9">
                  <c:v>47.227272727272727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0-4D27-B9FC-53F1268EA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633376"/>
        <c:axId val="1702633856"/>
      </c:lineChart>
      <c:catAx>
        <c:axId val="17026333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2633856"/>
        <c:crosses val="autoZero"/>
        <c:auto val="1"/>
        <c:lblAlgn val="ctr"/>
        <c:lblOffset val="100"/>
        <c:noMultiLvlLbl val="0"/>
      </c:catAx>
      <c:valAx>
        <c:axId val="17026338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0263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</xdr:colOff>
      <xdr:row>0</xdr:row>
      <xdr:rowOff>121920</xdr:rowOff>
    </xdr:from>
    <xdr:to>
      <xdr:col>10</xdr:col>
      <xdr:colOff>621030</xdr:colOff>
      <xdr:row>16</xdr:row>
      <xdr:rowOff>60960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A7B3C49C-665A-1022-5C6E-28C53D00E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eam" refreshedDate="45995.115480439817" createdVersion="8" refreshedVersion="8" minRefreshableVersion="3" recordCount="278" xr:uid="{9AD85E8D-69FF-4A6F-BAA4-B4EA0F2F9703}">
  <cacheSource type="worksheet">
    <worksheetSource name="Table2"/>
  </cacheSource>
  <cacheFields count="13">
    <cacheField name="Order ID" numFmtId="0">
      <sharedItems containsSemiMixedTypes="0" containsString="0" containsNumber="1" containsInteger="1" minValue="2" maxValue="300"/>
    </cacheField>
    <cacheField name="Order Code" numFmtId="0">
      <sharedItems count="278">
        <s v="ORD-002"/>
        <s v="ORD-003"/>
        <s v="ORD-004"/>
        <s v="ORD-005"/>
        <s v="ORD-006"/>
        <s v="ORD-007"/>
        <s v="ORD-008"/>
        <s v="ORD-009"/>
        <s v="ORD-010"/>
        <s v="ORD-011"/>
        <s v="ORD-012"/>
        <s v="ORD-014"/>
        <s v="ORD-015"/>
        <s v="ORD-016"/>
        <s v="ORD-017"/>
        <s v="ORD-018"/>
        <s v="ORD-019"/>
        <s v="ORD-020"/>
        <s v="ORD-021"/>
        <s v="ORD-022"/>
        <s v="ORD-023"/>
        <s v="ORD-024"/>
        <s v="ORD-025"/>
        <s v="ORD-026"/>
        <s v="ORD-028"/>
        <s v="ORD-029"/>
        <s v="ORD-030"/>
        <s v="ORD-031"/>
        <s v="ORD-032"/>
        <s v="ORD-033"/>
        <s v="ORD-034"/>
        <s v="ORD-035"/>
        <s v="ORD-036"/>
        <s v="ORD-037"/>
        <s v="ORD-038"/>
        <s v="ORD-039"/>
        <s v="ORD-040"/>
        <s v="ORD-041"/>
        <s v="ORD-042"/>
        <s v="ORD-043"/>
        <s v="ORD-044"/>
        <s v="ORD-045"/>
        <s v="ORD-046"/>
        <s v="ORD-047"/>
        <s v="ORD-049"/>
        <s v="ORD-050"/>
        <s v="ORD-051"/>
        <s v="ORD-053"/>
        <s v="ORD-054"/>
        <s v="ORD-055"/>
        <s v="ORD-056"/>
        <s v="ORD-057"/>
        <s v="ORD-058"/>
        <s v="ORD-060"/>
        <s v="ORD-061"/>
        <s v="ORD-062"/>
        <s v="ORD-063"/>
        <s v="ORD-065"/>
        <s v="ORD-066"/>
        <s v="ORD-067"/>
        <s v="ORD-068"/>
        <s v="ORD-069"/>
        <s v="ORD-070"/>
        <s v="ORD-071"/>
        <s v="ORD-072"/>
        <s v="ORD-073"/>
        <s v="ORD-074"/>
        <s v="ORD-076"/>
        <s v="ORD-077"/>
        <s v="ORD-078"/>
        <s v="ORD-079"/>
        <s v="ORD-080"/>
        <s v="ORD-081"/>
        <s v="ORD-082"/>
        <s v="ORD-083"/>
        <s v="ORD-084"/>
        <s v="ORD-085"/>
        <s v="ORD-087"/>
        <s v="ORD-088"/>
        <s v="ORD-091"/>
        <s v="ORD-092"/>
        <s v="ORD-093"/>
        <s v="ORD-094"/>
        <s v="ORD-095"/>
        <s v="ORD-096"/>
        <s v="ORD-099"/>
        <s v="ORD-100"/>
        <s v="ORD-101"/>
        <s v="ORD-102"/>
        <s v="ORD-103"/>
        <s v="ORD-104"/>
        <s v="ORD-105"/>
        <s v="ORD-106"/>
        <s v="ORD-107"/>
        <s v="ORD-108"/>
        <s v="ORD-109"/>
        <s v="ORD-110"/>
        <s v="ORD-111"/>
        <s v="ORD-112"/>
        <s v="ORD-113"/>
        <s v="ORD-114"/>
        <s v="ORD-115"/>
        <s v="ORD-116"/>
        <s v="ORD-117"/>
        <s v="ORD-118"/>
        <s v="ORD-120"/>
        <s v="ORD-121"/>
        <s v="ORD-122"/>
        <s v="ORD-123"/>
        <s v="ORD-124"/>
        <s v="ORD-126"/>
        <s v="ORD-127"/>
        <s v="ORD-128"/>
        <s v="ORD-130"/>
        <s v="ORD-131"/>
        <s v="ORD-132"/>
        <s v="ORD-133"/>
        <s v="ORD-134"/>
        <s v="ORD-135"/>
        <s v="ORD-136"/>
        <s v="ORD-137"/>
        <s v="ORD-138"/>
        <s v="ORD-139"/>
        <s v="ORD-140"/>
        <s v="ORD-141"/>
        <s v="ORD-142"/>
        <s v="ORD-143"/>
        <s v="ORD-146"/>
        <s v="ORD-148"/>
        <s v="ORD-150"/>
        <s v="ORD-151"/>
        <s v="ORD-152"/>
        <s v="ORD-155"/>
        <s v="ORD-156"/>
        <s v="ORD-157"/>
        <s v="ORD-158"/>
        <s v="ORD-159"/>
        <s v="ORD-160"/>
        <s v="ORD-161"/>
        <s v="ORD-162"/>
        <s v="ORD-163"/>
        <s v="ORD-164"/>
        <s v="ORD-165"/>
        <s v="ORD-166"/>
        <s v="ORD-167"/>
        <s v="ORD-168"/>
        <s v="ORD-169"/>
        <s v="ORD-170"/>
        <s v="ORD-171"/>
        <s v="ORD-172"/>
        <s v="ORD-173"/>
        <s v="ORD-174"/>
        <s v="ORD-175"/>
        <s v="ORD-176"/>
        <s v="ORD-177"/>
        <s v="ORD-178"/>
        <s v="ORD-179"/>
        <s v="ORD-180"/>
        <s v="ORD-181"/>
        <s v="ORD-182"/>
        <s v="ORD-183"/>
        <s v="ORD-184"/>
        <s v="ORD-185"/>
        <s v="ORD-186"/>
        <s v="ORD-187"/>
        <s v="ORD-188"/>
        <s v="ORD-189"/>
        <s v="ORD-190"/>
        <s v="ORD-191"/>
        <s v="ORD-192"/>
        <s v="ORD-193"/>
        <s v="ORD-194"/>
        <s v="ORD-195"/>
        <s v="ORD-196"/>
        <s v="ORD-197"/>
        <s v="ORD-198"/>
        <s v="ORD-199"/>
        <s v="ORD-200"/>
        <s v="ORD-201"/>
        <s v="ORD-202"/>
        <s v="ORD-203"/>
        <s v="ORD-204"/>
        <s v="ORD-205"/>
        <s v="ORD-206"/>
        <s v="ORD-207"/>
        <s v="ORD-208"/>
        <s v="ORD-209"/>
        <s v="ORD-210"/>
        <s v="ORD-211"/>
        <s v="ORD-212"/>
        <s v="ORD-213"/>
        <s v="ORD-214"/>
        <s v="ORD-215"/>
        <s v="ORD-216"/>
        <s v="ORD-217"/>
        <s v="ORD-218"/>
        <s v="ORD-219"/>
        <s v="ORD-220"/>
        <s v="ORD-221"/>
        <s v="ORD-222"/>
        <s v="ORD-223"/>
        <s v="ORD-224"/>
        <s v="ORD-225"/>
        <s v="ORD-226"/>
        <s v="ORD-227"/>
        <s v="ORD-228"/>
        <s v="ORD-229"/>
        <s v="ORD-230"/>
        <s v="ORD-231"/>
        <s v="ORD-232"/>
        <s v="ORD-233"/>
        <s v="ORD-234"/>
        <s v="ORD-235"/>
        <s v="ORD-236"/>
        <s v="ORD-237"/>
        <s v="ORD-238"/>
        <s v="ORD-239"/>
        <s v="ORD-240"/>
        <s v="ORD-241"/>
        <s v="ORD-242"/>
        <s v="ORD-243"/>
        <s v="ORD-244"/>
        <s v="ORD-245"/>
        <s v="ORD-246"/>
        <s v="ORD-247"/>
        <s v="ORD-248"/>
        <s v="ORD-249"/>
        <s v="ORD-250"/>
        <s v="ORD-251"/>
        <s v="ORD-252"/>
        <s v="ORD-253"/>
        <s v="ORD-254"/>
        <s v="ORD-255"/>
        <s v="ORD-256"/>
        <s v="ORD-257"/>
        <s v="ORD-258"/>
        <s v="ORD-259"/>
        <s v="ORD-260"/>
        <s v="ORD-261"/>
        <s v="ORD-262"/>
        <s v="ORD-263"/>
        <s v="ORD-264"/>
        <s v="ORD-265"/>
        <s v="ORD-266"/>
        <s v="ORD-267"/>
        <s v="ORD-268"/>
        <s v="ORD-269"/>
        <s v="ORD-270"/>
        <s v="ORD-271"/>
        <s v="ORD-272"/>
        <s v="ORD-273"/>
        <s v="ORD-274"/>
        <s v="ORD-275"/>
        <s v="ORD-276"/>
        <s v="ORD-277"/>
        <s v="ORD-278"/>
        <s v="ORD-279"/>
        <s v="ORD-280"/>
        <s v="ORD-281"/>
        <s v="ORD-282"/>
        <s v="ORD-283"/>
        <s v="ORD-284"/>
        <s v="ORD-285"/>
        <s v="ORD-286"/>
        <s v="ORD-287"/>
        <s v="ORD-288"/>
        <s v="ORD-289"/>
        <s v="ORD-290"/>
        <s v="ORD-291"/>
        <s v="ORD-292"/>
        <s v="ORD-293"/>
        <s v="ORD-294"/>
        <s v="ORD-295"/>
        <s v="ORD-296"/>
        <s v="ORD-297"/>
        <s v="ORD-298"/>
        <s v="ORD-299"/>
        <s v="ORD-300"/>
      </sharedItems>
    </cacheField>
    <cacheField name="Order Date" numFmtId="164">
      <sharedItems containsSemiMixedTypes="0" containsNonDate="0" containsDate="1" containsString="0" minDate="2023-01-02T00:00:00" maxDate="2023-10-23T00:00:00" count="272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3-15T00:00:00"/>
        <d v="2023-01-12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4-02T00:00:00"/>
        <d v="2023-01-22T00:00:00"/>
        <d v="2023-01-23T00:00:00"/>
        <d v="2023-01-24T00:00:00"/>
        <d v="2023-01-25T00:00:00"/>
        <d v="2023-01-26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8T00:00:00"/>
        <d v="2023-02-19T00:00:00"/>
        <d v="2023-02-20T00:00:00"/>
        <d v="2023-02-22T00:00:00"/>
        <d v="2023-02-23T00:00:00"/>
        <d v="2023-02-24T00:00:00"/>
        <d v="2023-02-25T00:00:00"/>
        <d v="2023-02-26T00:00:00"/>
        <d v="2023-02-27T00:00:00"/>
        <d v="2023-03-01T00:00:00"/>
        <d v="2023-03-02T00:00:00"/>
        <d v="2023-03-03T00:00:00"/>
        <d v="2023-03-04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4-01T00:00:00"/>
        <d v="2023-04-03T00:00:00"/>
        <d v="2023-04-04T00:00:00"/>
        <d v="2023-04-05T00:00:00"/>
        <d v="2023-04-06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6T00:00:00"/>
        <d v="2023-05-07T00:00:00"/>
        <d v="2023-05-08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6T00:00:00"/>
        <d v="2023-05-28T00:00:00"/>
        <d v="2023-05-30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</sharedItems>
      <fieldGroup par="12"/>
    </cacheField>
    <cacheField name="Item Type" numFmtId="0">
      <sharedItems count="5">
        <s v="Snacks"/>
        <s v="Electronics"/>
        <s v="Clothes"/>
        <s v="Beverages"/>
        <s v="Cosmetics"/>
      </sharedItems>
    </cacheField>
    <cacheField name="Region" numFmtId="0">
      <sharedItems count="4">
        <s v="East"/>
        <s v="South"/>
        <s v="North"/>
        <s v="West"/>
      </sharedItems>
    </cacheField>
    <cacheField name="Units Sold" numFmtId="0">
      <sharedItems containsSemiMixedTypes="0" containsString="0" containsNumber="1" containsInteger="1" minValue="11" maxValue="499"/>
    </cacheField>
    <cacheField name="Unit Price" numFmtId="0">
      <sharedItems containsSemiMixedTypes="0" containsString="0" containsNumber="1" minValue="8.1999999999999993" maxValue="297.2"/>
    </cacheField>
    <cacheField name="Unit Cost" numFmtId="0">
      <sharedItems containsSemiMixedTypes="0" containsString="0" containsNumber="1" minValue="2.6" maxValue="259.29000000000002"/>
    </cacheField>
    <cacheField name="Total Revenue" numFmtId="0">
      <sharedItems containsSemiMixedTypes="0" containsString="0" containsNumber="1" minValue="286.75" maxValue="132967.51999999999"/>
    </cacheField>
    <cacheField name="Total Profit" numFmtId="0">
      <sharedItems containsSemiMixedTypes="0" containsString="0" containsNumber="1" minValue="-17463.96" maxValue="78100.42"/>
    </cacheField>
    <cacheField name="Customer Age" numFmtId="0">
      <sharedItems containsSemiMixedTypes="0" containsString="0" containsNumber="1" containsInteger="1" minValue="18" maxValue="69"/>
    </cacheField>
    <cacheField name="الأيام (Order Date)" numFmtId="0" databaseField="0">
      <fieldGroup base="2">
        <rangePr groupBy="days" startDate="2023-01-02T00:00:00" endDate="2023-10-23T00:00:00"/>
        <groupItems count="368">
          <s v="&lt;02/01/23"/>
          <s v="01-يناير"/>
          <s v="02-يناير"/>
          <s v="03-يناير"/>
          <s v="04-يناير"/>
          <s v="05-يناير"/>
          <s v="06-يناير"/>
          <s v="07-يناير"/>
          <s v="08-يناير"/>
          <s v="09-يناير"/>
          <s v="10-يناير"/>
          <s v="11-يناير"/>
          <s v="12-يناير"/>
          <s v="13-يناير"/>
          <s v="14-يناير"/>
          <s v="15-يناير"/>
          <s v="16-يناير"/>
          <s v="17-يناير"/>
          <s v="18-يناير"/>
          <s v="19-يناير"/>
          <s v="20-يناير"/>
          <s v="21-يناير"/>
          <s v="22-يناير"/>
          <s v="23-يناير"/>
          <s v="24-يناير"/>
          <s v="25-يناير"/>
          <s v="26-يناير"/>
          <s v="27-يناير"/>
          <s v="28-يناير"/>
          <s v="29-يناير"/>
          <s v="30-يناير"/>
          <s v="31-يناير"/>
          <s v="01-فبراير"/>
          <s v="02-فبراير"/>
          <s v="03-فبراير"/>
          <s v="04-فبراير"/>
          <s v="05-فبراير"/>
          <s v="06-فبراير"/>
          <s v="07-فبراير"/>
          <s v="08-فبراير"/>
          <s v="09-فبراير"/>
          <s v="10-فبراير"/>
          <s v="11-فبراير"/>
          <s v="12-فبراير"/>
          <s v="13-فبراير"/>
          <s v="14-فبراير"/>
          <s v="15-فبراير"/>
          <s v="16-فبراير"/>
          <s v="17-فبراير"/>
          <s v="18-فبراير"/>
          <s v="19-فبراير"/>
          <s v="20-فبراير"/>
          <s v="21-فبراير"/>
          <s v="22-فبراير"/>
          <s v="23-فبراير"/>
          <s v="24-فبراير"/>
          <s v="25-فبراير"/>
          <s v="26-فبراير"/>
          <s v="27-فبراير"/>
          <s v="28-فبراير"/>
          <s v="29-فبراير"/>
          <s v="01-مارس"/>
          <s v="02-مارس"/>
          <s v="03-مارس"/>
          <s v="04-مارس"/>
          <s v="05-مارس"/>
          <s v="06-مارس"/>
          <s v="07-مارس"/>
          <s v="08-مارس"/>
          <s v="09-مارس"/>
          <s v="10-مارس"/>
          <s v="11-مارس"/>
          <s v="12-مارس"/>
          <s v="13-مارس"/>
          <s v="14-مارس"/>
          <s v="15-مارس"/>
          <s v="16-مارس"/>
          <s v="17-مارس"/>
          <s v="18-مارس"/>
          <s v="19-مارس"/>
          <s v="20-مارس"/>
          <s v="21-مارس"/>
          <s v="22-مارس"/>
          <s v="23-مارس"/>
          <s v="24-مارس"/>
          <s v="25-مارس"/>
          <s v="26-مارس"/>
          <s v="27-مارس"/>
          <s v="28-مارس"/>
          <s v="29-مارس"/>
          <s v="30-مارس"/>
          <s v="31-مارس"/>
          <s v="01-أبريل"/>
          <s v="02-أبريل"/>
          <s v="03-أبريل"/>
          <s v="04-أبريل"/>
          <s v="05-أبريل"/>
          <s v="06-أبريل"/>
          <s v="07-أبريل"/>
          <s v="08-أبريل"/>
          <s v="09-أبريل"/>
          <s v="10-أبريل"/>
          <s v="11-أبريل"/>
          <s v="12-أبريل"/>
          <s v="13-أبريل"/>
          <s v="14-أبريل"/>
          <s v="15-أبريل"/>
          <s v="16-أبريل"/>
          <s v="17-أبريل"/>
          <s v="18-أبريل"/>
          <s v="19-أبريل"/>
          <s v="20-أبريل"/>
          <s v="21-أبريل"/>
          <s v="22-أبريل"/>
          <s v="23-أبريل"/>
          <s v="24-أبريل"/>
          <s v="25-أبريل"/>
          <s v="26-أبريل"/>
          <s v="27-أبريل"/>
          <s v="28-أبريل"/>
          <s v="29-أبريل"/>
          <s v="30-أبريل"/>
          <s v="01-مايو"/>
          <s v="02-مايو"/>
          <s v="03-مايو"/>
          <s v="04-مايو"/>
          <s v="05-مايو"/>
          <s v="06-مايو"/>
          <s v="07-مايو"/>
          <s v="08-مايو"/>
          <s v="09-مايو"/>
          <s v="10-مايو"/>
          <s v="11-مايو"/>
          <s v="12-مايو"/>
          <s v="13-مايو"/>
          <s v="14-مايو"/>
          <s v="15-مايو"/>
          <s v="16-مايو"/>
          <s v="17-مايو"/>
          <s v="18-مايو"/>
          <s v="19-مايو"/>
          <s v="20-مايو"/>
          <s v="21-مايو"/>
          <s v="22-مايو"/>
          <s v="23-مايو"/>
          <s v="24-مايو"/>
          <s v="25-مايو"/>
          <s v="26-مايو"/>
          <s v="27-مايو"/>
          <s v="28-مايو"/>
          <s v="29-مايو"/>
          <s v="30-مايو"/>
          <s v="31-مايو"/>
          <s v="01-يونيو"/>
          <s v="02-يونيو"/>
          <s v="03-يونيو"/>
          <s v="04-يونيو"/>
          <s v="05-يونيو"/>
          <s v="06-يونيو"/>
          <s v="07-يونيو"/>
          <s v="08-يونيو"/>
          <s v="09-يونيو"/>
          <s v="10-يونيو"/>
          <s v="11-يونيو"/>
          <s v="12-يونيو"/>
          <s v="13-يونيو"/>
          <s v="14-يونيو"/>
          <s v="15-يونيو"/>
          <s v="16-يونيو"/>
          <s v="17-يونيو"/>
          <s v="18-يونيو"/>
          <s v="19-يونيو"/>
          <s v="20-يونيو"/>
          <s v="21-يونيو"/>
          <s v="22-يونيو"/>
          <s v="23-يونيو"/>
          <s v="24-يونيو"/>
          <s v="25-يونيو"/>
          <s v="26-يونيو"/>
          <s v="27-يونيو"/>
          <s v="28-يونيو"/>
          <s v="29-يونيو"/>
          <s v="30-يونيو"/>
          <s v="01-يوليو"/>
          <s v="02-يوليو"/>
          <s v="03-يوليو"/>
          <s v="04-يوليو"/>
          <s v="05-يوليو"/>
          <s v="06-يوليو"/>
          <s v="07-يوليو"/>
          <s v="08-يوليو"/>
          <s v="09-يوليو"/>
          <s v="10-يوليو"/>
          <s v="11-يوليو"/>
          <s v="12-يوليو"/>
          <s v="13-يوليو"/>
          <s v="14-يوليو"/>
          <s v="15-يوليو"/>
          <s v="16-يوليو"/>
          <s v="17-يوليو"/>
          <s v="18-يوليو"/>
          <s v="19-يوليو"/>
          <s v="20-يوليو"/>
          <s v="21-يوليو"/>
          <s v="22-يوليو"/>
          <s v="23-يوليو"/>
          <s v="24-يوليو"/>
          <s v="25-يوليو"/>
          <s v="26-يوليو"/>
          <s v="27-يوليو"/>
          <s v="28-يوليو"/>
          <s v="29-يوليو"/>
          <s v="30-يوليو"/>
          <s v="31-يوليو"/>
          <s v="01-أغسطس"/>
          <s v="02-أغسطس"/>
          <s v="03-أغسطس"/>
          <s v="04-أغسطس"/>
          <s v="05-أغسطس"/>
          <s v="06-أغسطس"/>
          <s v="07-أغسطس"/>
          <s v="08-أغسطس"/>
          <s v="09-أغسطس"/>
          <s v="10-أغسطس"/>
          <s v="11-أغسطس"/>
          <s v="12-أغسطس"/>
          <s v="13-أغسطس"/>
          <s v="14-أغسطس"/>
          <s v="15-أغسطس"/>
          <s v="16-أغسطس"/>
          <s v="17-أغسطس"/>
          <s v="18-أغسطس"/>
          <s v="19-أغسطس"/>
          <s v="20-أغسطس"/>
          <s v="21-أغسطس"/>
          <s v="22-أغسطس"/>
          <s v="23-أغسطس"/>
          <s v="24-أغسطس"/>
          <s v="25-أغسطس"/>
          <s v="26-أغسطس"/>
          <s v="27-أغسطس"/>
          <s v="28-أغسطس"/>
          <s v="29-أغسطس"/>
          <s v="30-أغسطس"/>
          <s v="31-أغسطس"/>
          <s v="01-سبتمبر"/>
          <s v="02-سبتمبر"/>
          <s v="03-سبتمبر"/>
          <s v="04-سبتمبر"/>
          <s v="05-سبتمبر"/>
          <s v="06-سبتمبر"/>
          <s v="07-سبتمبر"/>
          <s v="08-سبتمبر"/>
          <s v="09-سبتمبر"/>
          <s v="10-سبتمبر"/>
          <s v="11-سبتمبر"/>
          <s v="12-سبتمبر"/>
          <s v="13-سبتمبر"/>
          <s v="14-سبتمبر"/>
          <s v="15-سبتمبر"/>
          <s v="16-سبتمبر"/>
          <s v="17-سبتمبر"/>
          <s v="18-سبتمبر"/>
          <s v="19-سبتمبر"/>
          <s v="20-سبتمبر"/>
          <s v="21-سبتمبر"/>
          <s v="22-سبتمبر"/>
          <s v="23-سبتمبر"/>
          <s v="24-سبتمبر"/>
          <s v="25-سبتمبر"/>
          <s v="26-سبتمبر"/>
          <s v="27-سبتمبر"/>
          <s v="28-سبتمبر"/>
          <s v="29-سبتمبر"/>
          <s v="30-سبتمبر"/>
          <s v="01-أكتوبر"/>
          <s v="02-أكتوبر"/>
          <s v="03-أكتوبر"/>
          <s v="04-أكتوبر"/>
          <s v="05-أكتوبر"/>
          <s v="06-أكتوبر"/>
          <s v="07-أكتوبر"/>
          <s v="08-أكتوبر"/>
          <s v="09-أكتوبر"/>
          <s v="10-أكتوبر"/>
          <s v="11-أكتوبر"/>
          <s v="12-أكتوبر"/>
          <s v="13-أكتوبر"/>
          <s v="14-أكتوبر"/>
          <s v="15-أكتوبر"/>
          <s v="16-أكتوبر"/>
          <s v="17-أكتوبر"/>
          <s v="18-أكتوبر"/>
          <s v="19-أكتوبر"/>
          <s v="20-أكتوبر"/>
          <s v="21-أكتوبر"/>
          <s v="22-أكتوبر"/>
          <s v="23-أكتوبر"/>
          <s v="24-أكتوبر"/>
          <s v="25-أكتوبر"/>
          <s v="26-أكتوبر"/>
          <s v="27-أكتوبر"/>
          <s v="28-أكتوبر"/>
          <s v="29-أكتوبر"/>
          <s v="30-أكتوبر"/>
          <s v="31-أكتوبر"/>
          <s v="01-نوفمبر"/>
          <s v="02-نوفمبر"/>
          <s v="03-نوفمبر"/>
          <s v="04-نوفمبر"/>
          <s v="05-نوفمبر"/>
          <s v="06-نوفمبر"/>
          <s v="07-نوفمبر"/>
          <s v="08-نوفمبر"/>
          <s v="09-نوفمبر"/>
          <s v="10-نوفمبر"/>
          <s v="11-نوفمبر"/>
          <s v="12-نوفمبر"/>
          <s v="13-نوفمبر"/>
          <s v="14-نوفمبر"/>
          <s v="15-نوفمبر"/>
          <s v="16-نوفمبر"/>
          <s v="17-نوفمبر"/>
          <s v="18-نوفمبر"/>
          <s v="19-نوفمبر"/>
          <s v="20-نوفمبر"/>
          <s v="21-نوفمبر"/>
          <s v="22-نوفمبر"/>
          <s v="23-نوفمبر"/>
          <s v="24-نوفمبر"/>
          <s v="25-نوفمبر"/>
          <s v="26-نوفمبر"/>
          <s v="27-نوفمبر"/>
          <s v="28-نوفمبر"/>
          <s v="29-نوفمبر"/>
          <s v="30-نوفمبر"/>
          <s v="01-ديسمبر"/>
          <s v="02-ديسمبر"/>
          <s v="03-ديسمبر"/>
          <s v="04-ديسمبر"/>
          <s v="05-ديسمبر"/>
          <s v="06-ديسمبر"/>
          <s v="07-ديسمبر"/>
          <s v="08-ديسمبر"/>
          <s v="09-ديسمبر"/>
          <s v="10-ديسمبر"/>
          <s v="11-ديسمبر"/>
          <s v="12-ديسمبر"/>
          <s v="13-ديسمبر"/>
          <s v="14-ديسمبر"/>
          <s v="15-ديسمبر"/>
          <s v="16-ديسمبر"/>
          <s v="17-ديسمبر"/>
          <s v="18-ديسمبر"/>
          <s v="19-ديسمبر"/>
          <s v="20-ديسمبر"/>
          <s v="21-ديسمبر"/>
          <s v="22-ديسمبر"/>
          <s v="23-ديسمبر"/>
          <s v="24-ديسمبر"/>
          <s v="25-ديسمبر"/>
          <s v="26-ديسمبر"/>
          <s v="27-ديسمبر"/>
          <s v="28-ديسمبر"/>
          <s v="29-ديسمبر"/>
          <s v="30-ديسمبر"/>
          <s v="31-ديسمبر"/>
          <s v="&gt;23/10/23"/>
        </groupItems>
      </fieldGroup>
    </cacheField>
    <cacheField name="الشهور (Order Date)" numFmtId="0" databaseField="0">
      <fieldGroup base="2">
        <rangePr groupBy="months" startDate="2023-01-02T00:00:00" endDate="2023-10-23T00:00:00"/>
        <groupItems count="14">
          <s v="&lt;02/01/23"/>
          <s v="يناير"/>
          <s v="فبراير"/>
          <s v="مارس"/>
          <s v="أبريل"/>
          <s v="مايو"/>
          <s v="يونيو"/>
          <s v="يوليو"/>
          <s v="أغسطس"/>
          <s v="سبتمبر"/>
          <s v="أكتوبر"/>
          <s v="نوفمبر"/>
          <s v="ديسمبر"/>
          <s v="&gt;23/10/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n v="2"/>
    <x v="0"/>
    <x v="0"/>
    <x v="0"/>
    <x v="0"/>
    <n v="140"/>
    <n v="152.94999999999999"/>
    <n v="96.32"/>
    <n v="21413"/>
    <n v="7928.2000000000007"/>
    <n v="34"/>
  </r>
  <r>
    <n v="3"/>
    <x v="1"/>
    <x v="1"/>
    <x v="1"/>
    <x v="1"/>
    <n v="413"/>
    <n v="240.5"/>
    <n v="135.86000000000001"/>
    <n v="99326.5"/>
    <n v="43216.319999999992"/>
    <n v="22"/>
  </r>
  <r>
    <n v="4"/>
    <x v="2"/>
    <x v="2"/>
    <x v="0"/>
    <x v="2"/>
    <n v="161"/>
    <n v="196.74"/>
    <n v="163.81"/>
    <n v="31675.140000000003"/>
    <n v="5301.7300000000032"/>
    <n v="46"/>
  </r>
  <r>
    <n v="5"/>
    <x v="3"/>
    <x v="3"/>
    <x v="0"/>
    <x v="2"/>
    <n v="63"/>
    <n v="212.08"/>
    <n v="108.28"/>
    <n v="13361.04"/>
    <n v="6539.4000000000005"/>
    <n v="21"/>
  </r>
  <r>
    <n v="6"/>
    <x v="4"/>
    <x v="4"/>
    <x v="2"/>
    <x v="2"/>
    <n v="129"/>
    <n v="239.76"/>
    <n v="88.77"/>
    <n v="30929.039999999997"/>
    <n v="19477.71"/>
    <n v="27"/>
  </r>
  <r>
    <n v="7"/>
    <x v="5"/>
    <x v="5"/>
    <x v="1"/>
    <x v="0"/>
    <n v="170"/>
    <n v="267.55"/>
    <n v="103.22"/>
    <n v="45483.5"/>
    <n v="27936.1"/>
    <n v="34"/>
  </r>
  <r>
    <n v="8"/>
    <x v="6"/>
    <x v="6"/>
    <x v="1"/>
    <x v="1"/>
    <n v="417"/>
    <n v="104.71"/>
    <n v="79.260000000000005"/>
    <n v="43664.07"/>
    <n v="10612.649999999994"/>
    <n v="27"/>
  </r>
  <r>
    <n v="9"/>
    <x v="7"/>
    <x v="7"/>
    <x v="1"/>
    <x v="2"/>
    <n v="125"/>
    <n v="115.8"/>
    <n v="77.69"/>
    <n v="14475"/>
    <n v="4763.75"/>
    <n v="34"/>
  </r>
  <r>
    <n v="10"/>
    <x v="8"/>
    <x v="8"/>
    <x v="0"/>
    <x v="3"/>
    <n v="84"/>
    <n v="32.72"/>
    <n v="11.8"/>
    <n v="2748.48"/>
    <n v="1757.28"/>
    <n v="37"/>
  </r>
  <r>
    <n v="11"/>
    <x v="9"/>
    <x v="9"/>
    <x v="3"/>
    <x v="2"/>
    <n v="122"/>
    <n v="175.59"/>
    <n v="61.54"/>
    <n v="21421.98"/>
    <n v="13914.099999999999"/>
    <n v="41"/>
  </r>
  <r>
    <n v="12"/>
    <x v="10"/>
    <x v="10"/>
    <x v="1"/>
    <x v="2"/>
    <n v="465"/>
    <n v="15.6"/>
    <n v="11.24"/>
    <n v="7254"/>
    <n v="2027.3999999999996"/>
    <n v="22"/>
  </r>
  <r>
    <n v="14"/>
    <x v="11"/>
    <x v="11"/>
    <x v="2"/>
    <x v="0"/>
    <n v="431"/>
    <n v="165.08"/>
    <n v="130.93"/>
    <n v="71149.48000000001"/>
    <n v="14718.650000000009"/>
    <n v="23"/>
  </r>
  <r>
    <n v="15"/>
    <x v="12"/>
    <x v="12"/>
    <x v="3"/>
    <x v="1"/>
    <n v="113"/>
    <n v="89.53"/>
    <n v="64.8"/>
    <n v="10116.89"/>
    <n v="2794.49"/>
    <n v="19"/>
  </r>
  <r>
    <n v="16"/>
    <x v="13"/>
    <x v="13"/>
    <x v="2"/>
    <x v="3"/>
    <n v="349"/>
    <n v="12.5"/>
    <n v="62.54"/>
    <n v="4362.5"/>
    <n v="-17463.96"/>
    <n v="30"/>
  </r>
  <r>
    <n v="17"/>
    <x v="14"/>
    <x v="14"/>
    <x v="3"/>
    <x v="0"/>
    <n v="263"/>
    <n v="14"/>
    <n v="4.91"/>
    <n v="3682"/>
    <n v="2390.67"/>
    <n v="60"/>
  </r>
  <r>
    <n v="18"/>
    <x v="15"/>
    <x v="15"/>
    <x v="0"/>
    <x v="2"/>
    <n v="236"/>
    <n v="16.02"/>
    <n v="14.29"/>
    <n v="3780.72"/>
    <n v="408.2800000000002"/>
    <n v="60"/>
  </r>
  <r>
    <n v="19"/>
    <x v="16"/>
    <x v="16"/>
    <x v="4"/>
    <x v="1"/>
    <n v="121"/>
    <n v="247.67"/>
    <n v="129.91999999999999"/>
    <n v="29968.07"/>
    <n v="14247.750000000002"/>
    <n v="65"/>
  </r>
  <r>
    <n v="20"/>
    <x v="17"/>
    <x v="17"/>
    <x v="3"/>
    <x v="2"/>
    <n v="482"/>
    <n v="111.26"/>
    <n v="58.12"/>
    <n v="53627.32"/>
    <n v="25613.48"/>
    <n v="28"/>
  </r>
  <r>
    <n v="21"/>
    <x v="18"/>
    <x v="18"/>
    <x v="2"/>
    <x v="2"/>
    <n v="108"/>
    <n v="42.48"/>
    <n v="33.46"/>
    <n v="4587.8399999999992"/>
    <n v="974.15999999999894"/>
    <n v="68"/>
  </r>
  <r>
    <n v="22"/>
    <x v="19"/>
    <x v="19"/>
    <x v="0"/>
    <x v="0"/>
    <n v="162"/>
    <n v="159.06"/>
    <n v="138.12"/>
    <n v="25767.72"/>
    <n v="3392.2799999999988"/>
    <n v="64"/>
  </r>
  <r>
    <n v="23"/>
    <x v="20"/>
    <x v="20"/>
    <x v="3"/>
    <x v="1"/>
    <n v="358"/>
    <n v="232.15"/>
    <n v="206.99"/>
    <n v="83109.7"/>
    <n v="9007.2799999999988"/>
    <n v="40"/>
  </r>
  <r>
    <n v="24"/>
    <x v="21"/>
    <x v="21"/>
    <x v="4"/>
    <x v="3"/>
    <n v="411"/>
    <n v="68.67"/>
    <n v="51.64"/>
    <n v="28223.37"/>
    <n v="6999.3299999999981"/>
    <n v="33"/>
  </r>
  <r>
    <n v="25"/>
    <x v="22"/>
    <x v="22"/>
    <x v="4"/>
    <x v="3"/>
    <n v="393"/>
    <n v="188.75"/>
    <n v="99.24"/>
    <n v="74178.75"/>
    <n v="35177.43"/>
    <n v="48"/>
  </r>
  <r>
    <n v="26"/>
    <x v="23"/>
    <x v="23"/>
    <x v="1"/>
    <x v="0"/>
    <n v="375"/>
    <n v="99.99"/>
    <n v="10.57"/>
    <n v="37496.25"/>
    <n v="33532.5"/>
    <n v="28"/>
  </r>
  <r>
    <n v="28"/>
    <x v="24"/>
    <x v="24"/>
    <x v="2"/>
    <x v="1"/>
    <n v="203"/>
    <n v="161.75"/>
    <n v="102.72"/>
    <n v="32835.25"/>
    <n v="11983.09"/>
    <n v="25"/>
  </r>
  <r>
    <n v="29"/>
    <x v="25"/>
    <x v="25"/>
    <x v="3"/>
    <x v="3"/>
    <n v="319"/>
    <n v="164.49"/>
    <n v="91.22"/>
    <n v="52472.310000000005"/>
    <n v="23373.130000000005"/>
    <n v="21"/>
  </r>
  <r>
    <n v="30"/>
    <x v="26"/>
    <x v="26"/>
    <x v="3"/>
    <x v="3"/>
    <n v="172"/>
    <n v="193.04"/>
    <n v="162.88999999999999"/>
    <n v="33202.879999999997"/>
    <n v="5185.7999999999993"/>
    <n v="57"/>
  </r>
  <r>
    <n v="31"/>
    <x v="27"/>
    <x v="27"/>
    <x v="1"/>
    <x v="3"/>
    <n v="217"/>
    <n v="219.2"/>
    <n v="80.38"/>
    <n v="47566.399999999994"/>
    <n v="30123.939999999995"/>
    <n v="21"/>
  </r>
  <r>
    <n v="32"/>
    <x v="28"/>
    <x v="28"/>
    <x v="3"/>
    <x v="2"/>
    <n v="454"/>
    <n v="292.88"/>
    <n v="174.43"/>
    <n v="132967.51999999999"/>
    <n v="53776.299999999988"/>
    <n v="42"/>
  </r>
  <r>
    <n v="33"/>
    <x v="29"/>
    <x v="29"/>
    <x v="3"/>
    <x v="3"/>
    <n v="178"/>
    <n v="157.31"/>
    <n v="48.26"/>
    <n v="28001.18"/>
    <n v="19410.900000000001"/>
    <n v="20"/>
  </r>
  <r>
    <n v="34"/>
    <x v="30"/>
    <x v="30"/>
    <x v="4"/>
    <x v="2"/>
    <n v="493"/>
    <n v="100.27"/>
    <n v="58.28"/>
    <n v="49433.11"/>
    <n v="20701.07"/>
    <n v="49"/>
  </r>
  <r>
    <n v="35"/>
    <x v="31"/>
    <x v="31"/>
    <x v="1"/>
    <x v="1"/>
    <n v="170"/>
    <n v="239.58"/>
    <n v="79.97"/>
    <n v="40728.6"/>
    <n v="27133.699999999997"/>
    <n v="20"/>
  </r>
  <r>
    <n v="36"/>
    <x v="32"/>
    <x v="32"/>
    <x v="0"/>
    <x v="2"/>
    <n v="77"/>
    <n v="84.9"/>
    <n v="31.52"/>
    <n v="6537.3"/>
    <n v="4110.26"/>
    <n v="44"/>
  </r>
  <r>
    <n v="37"/>
    <x v="33"/>
    <x v="33"/>
    <x v="1"/>
    <x v="1"/>
    <n v="298"/>
    <n v="134.5"/>
    <n v="49.83"/>
    <n v="40081"/>
    <n v="25231.66"/>
    <n v="46"/>
  </r>
  <r>
    <n v="38"/>
    <x v="34"/>
    <x v="34"/>
    <x v="0"/>
    <x v="3"/>
    <n v="407"/>
    <n v="28.14"/>
    <n v="19.399999999999999"/>
    <n v="11452.98"/>
    <n v="3557.1800000000003"/>
    <n v="49"/>
  </r>
  <r>
    <n v="39"/>
    <x v="35"/>
    <x v="35"/>
    <x v="4"/>
    <x v="3"/>
    <n v="286"/>
    <n v="12.48"/>
    <n v="9.33"/>
    <n v="3569.28"/>
    <n v="900.90000000000009"/>
    <n v="67"/>
  </r>
  <r>
    <n v="40"/>
    <x v="36"/>
    <x v="36"/>
    <x v="2"/>
    <x v="1"/>
    <n v="313"/>
    <n v="288.98"/>
    <n v="187.84"/>
    <n v="90450.74"/>
    <n v="31656.820000000007"/>
    <n v="68"/>
  </r>
  <r>
    <n v="41"/>
    <x v="37"/>
    <x v="37"/>
    <x v="3"/>
    <x v="0"/>
    <n v="413"/>
    <n v="251.61"/>
    <n v="220.74"/>
    <n v="103914.93000000001"/>
    <n v="12749.309999999998"/>
    <n v="36"/>
  </r>
  <r>
    <n v="42"/>
    <x v="38"/>
    <x v="38"/>
    <x v="4"/>
    <x v="1"/>
    <n v="393"/>
    <n v="210.31"/>
    <n v="110.4"/>
    <n v="82651.83"/>
    <n v="39264.629999999997"/>
    <n v="38"/>
  </r>
  <r>
    <n v="43"/>
    <x v="39"/>
    <x v="39"/>
    <x v="3"/>
    <x v="0"/>
    <n v="401"/>
    <n v="125.64"/>
    <n v="59.23"/>
    <n v="50381.64"/>
    <n v="26630.41"/>
    <n v="22"/>
  </r>
  <r>
    <n v="44"/>
    <x v="40"/>
    <x v="40"/>
    <x v="2"/>
    <x v="2"/>
    <n v="144"/>
    <n v="56.12"/>
    <n v="46.08"/>
    <n v="8081.28"/>
    <n v="1445.7600000000002"/>
    <n v="35"/>
  </r>
  <r>
    <n v="45"/>
    <x v="41"/>
    <x v="41"/>
    <x v="2"/>
    <x v="2"/>
    <n v="204"/>
    <n v="51.15"/>
    <n v="22.21"/>
    <n v="10434.6"/>
    <n v="5903.76"/>
    <n v="45"/>
  </r>
  <r>
    <n v="46"/>
    <x v="42"/>
    <x v="42"/>
    <x v="4"/>
    <x v="2"/>
    <n v="410"/>
    <n v="78.819999999999993"/>
    <n v="69.2"/>
    <n v="32316.199999999997"/>
    <n v="3944.1999999999971"/>
    <n v="59"/>
  </r>
  <r>
    <n v="47"/>
    <x v="43"/>
    <x v="43"/>
    <x v="2"/>
    <x v="3"/>
    <n v="137"/>
    <n v="167.02"/>
    <n v="51.32"/>
    <n v="22881.74"/>
    <n v="15850.900000000001"/>
    <n v="39"/>
  </r>
  <r>
    <n v="49"/>
    <x v="44"/>
    <x v="44"/>
    <x v="2"/>
    <x v="0"/>
    <n v="185"/>
    <n v="199.76"/>
    <n v="65.099999999999994"/>
    <n v="36955.599999999999"/>
    <n v="24912.1"/>
    <n v="23"/>
  </r>
  <r>
    <n v="50"/>
    <x v="45"/>
    <x v="45"/>
    <x v="3"/>
    <x v="2"/>
    <n v="469"/>
    <n v="87.58"/>
    <n v="73.099999999999994"/>
    <n v="41075.019999999997"/>
    <n v="6791.1200000000026"/>
    <n v="18"/>
  </r>
  <r>
    <n v="51"/>
    <x v="46"/>
    <x v="46"/>
    <x v="3"/>
    <x v="1"/>
    <n v="452"/>
    <n v="286.69"/>
    <n v="176.78"/>
    <n v="129583.88"/>
    <n v="49679.320000000007"/>
    <n v="22"/>
  </r>
  <r>
    <n v="53"/>
    <x v="47"/>
    <x v="47"/>
    <x v="3"/>
    <x v="3"/>
    <n v="479"/>
    <n v="168.53"/>
    <n v="58.02"/>
    <n v="80725.87"/>
    <n v="52934.289999999994"/>
    <n v="29"/>
  </r>
  <r>
    <n v="54"/>
    <x v="48"/>
    <x v="48"/>
    <x v="0"/>
    <x v="1"/>
    <n v="384"/>
    <n v="185.46"/>
    <n v="117.27"/>
    <n v="71216.639999999999"/>
    <n v="26184.959999999999"/>
    <n v="43"/>
  </r>
  <r>
    <n v="55"/>
    <x v="49"/>
    <x v="49"/>
    <x v="1"/>
    <x v="0"/>
    <n v="31"/>
    <n v="128.78"/>
    <n v="113.53"/>
    <n v="3992.18"/>
    <n v="472.75"/>
    <n v="63"/>
  </r>
  <r>
    <n v="56"/>
    <x v="50"/>
    <x v="50"/>
    <x v="4"/>
    <x v="2"/>
    <n v="247"/>
    <n v="78.08"/>
    <n v="47.93"/>
    <n v="19285.759999999998"/>
    <n v="7447.0499999999993"/>
    <n v="51"/>
  </r>
  <r>
    <n v="57"/>
    <x v="51"/>
    <x v="51"/>
    <x v="3"/>
    <x v="3"/>
    <n v="167"/>
    <n v="110.01"/>
    <n v="74.55"/>
    <n v="18371.670000000002"/>
    <n v="5921.8200000000015"/>
    <n v="66"/>
  </r>
  <r>
    <n v="58"/>
    <x v="52"/>
    <x v="52"/>
    <x v="2"/>
    <x v="2"/>
    <n v="47"/>
    <n v="228.56"/>
    <n v="163.98"/>
    <n v="10742.32"/>
    <n v="3035.26"/>
    <n v="31"/>
  </r>
  <r>
    <n v="60"/>
    <x v="53"/>
    <x v="53"/>
    <x v="2"/>
    <x v="0"/>
    <n v="374"/>
    <n v="39.24"/>
    <n v="26.55"/>
    <n v="14675.76"/>
    <n v="4746.0599999999995"/>
    <n v="62"/>
  </r>
  <r>
    <n v="61"/>
    <x v="54"/>
    <x v="54"/>
    <x v="2"/>
    <x v="1"/>
    <n v="60"/>
    <n v="18.57"/>
    <n v="12.08"/>
    <n v="1114.2"/>
    <n v="389.40000000000009"/>
    <n v="44"/>
  </r>
  <r>
    <n v="62"/>
    <x v="55"/>
    <x v="55"/>
    <x v="3"/>
    <x v="1"/>
    <n v="447"/>
    <n v="17.010000000000002"/>
    <n v="14.3"/>
    <n v="7603.47"/>
    <n v="1211.3699999999999"/>
    <n v="26"/>
  </r>
  <r>
    <n v="63"/>
    <x v="56"/>
    <x v="56"/>
    <x v="0"/>
    <x v="2"/>
    <n v="273"/>
    <n v="257.36"/>
    <n v="84.23"/>
    <n v="70259.28"/>
    <n v="47264.49"/>
    <n v="43"/>
  </r>
  <r>
    <n v="65"/>
    <x v="57"/>
    <x v="57"/>
    <x v="2"/>
    <x v="1"/>
    <n v="36"/>
    <n v="144.88"/>
    <n v="126.08"/>
    <n v="5215.68"/>
    <n v="676.80000000000018"/>
    <n v="39"/>
  </r>
  <r>
    <n v="66"/>
    <x v="58"/>
    <x v="58"/>
    <x v="3"/>
    <x v="3"/>
    <n v="235"/>
    <n v="33.86"/>
    <n v="28.24"/>
    <n v="7957.0999999999995"/>
    <n v="1320.6999999999998"/>
    <n v="64"/>
  </r>
  <r>
    <n v="67"/>
    <x v="59"/>
    <x v="59"/>
    <x v="2"/>
    <x v="1"/>
    <n v="286"/>
    <n v="150.03"/>
    <n v="86.03"/>
    <n v="42908.58"/>
    <n v="18304"/>
    <n v="47"/>
  </r>
  <r>
    <n v="68"/>
    <x v="60"/>
    <x v="60"/>
    <x v="2"/>
    <x v="3"/>
    <n v="295"/>
    <n v="144.66999999999999"/>
    <n v="97.23"/>
    <n v="42677.649999999994"/>
    <n v="13994.799999999992"/>
    <n v="60"/>
  </r>
  <r>
    <n v="69"/>
    <x v="61"/>
    <x v="61"/>
    <x v="3"/>
    <x v="0"/>
    <n v="106"/>
    <n v="56.09"/>
    <n v="26.16"/>
    <n v="5945.54"/>
    <n v="3172.58"/>
    <n v="65"/>
  </r>
  <r>
    <n v="70"/>
    <x v="62"/>
    <x v="62"/>
    <x v="3"/>
    <x v="3"/>
    <n v="293"/>
    <n v="132.99"/>
    <n v="54.91"/>
    <n v="38966.07"/>
    <n v="22877.440000000002"/>
    <n v="34"/>
  </r>
  <r>
    <n v="71"/>
    <x v="63"/>
    <x v="63"/>
    <x v="4"/>
    <x v="0"/>
    <n v="376"/>
    <n v="122.56"/>
    <n v="70.87"/>
    <n v="46082.559999999998"/>
    <n v="19435.439999999995"/>
    <n v="43"/>
  </r>
  <r>
    <n v="72"/>
    <x v="64"/>
    <x v="64"/>
    <x v="0"/>
    <x v="0"/>
    <n v="457"/>
    <n v="186.68"/>
    <n v="95.58"/>
    <n v="85312.760000000009"/>
    <n v="41632.700000000012"/>
    <n v="53"/>
  </r>
  <r>
    <n v="73"/>
    <x v="65"/>
    <x v="65"/>
    <x v="0"/>
    <x v="3"/>
    <n v="490"/>
    <n v="192.35"/>
    <n v="125.06"/>
    <n v="94251.5"/>
    <n v="32972.1"/>
    <n v="18"/>
  </r>
  <r>
    <n v="74"/>
    <x v="66"/>
    <x v="9"/>
    <x v="2"/>
    <x v="0"/>
    <n v="462"/>
    <n v="18.36"/>
    <n v="6.36"/>
    <n v="8482.32"/>
    <n v="5544"/>
    <n v="25"/>
  </r>
  <r>
    <n v="76"/>
    <x v="67"/>
    <x v="66"/>
    <x v="2"/>
    <x v="0"/>
    <n v="313"/>
    <n v="189.63"/>
    <n v="169.1"/>
    <n v="59354.189999999995"/>
    <n v="6425.8899999999994"/>
    <n v="52"/>
  </r>
  <r>
    <n v="77"/>
    <x v="68"/>
    <x v="67"/>
    <x v="4"/>
    <x v="1"/>
    <n v="156"/>
    <n v="153.43"/>
    <n v="110.3"/>
    <n v="23935.08"/>
    <n v="6728.2800000000025"/>
    <n v="69"/>
  </r>
  <r>
    <n v="78"/>
    <x v="69"/>
    <x v="68"/>
    <x v="3"/>
    <x v="3"/>
    <n v="13"/>
    <n v="257.66000000000003"/>
    <n v="160.18"/>
    <n v="3349.5800000000004"/>
    <n v="1267.2400000000002"/>
    <n v="32"/>
  </r>
  <r>
    <n v="79"/>
    <x v="70"/>
    <x v="69"/>
    <x v="3"/>
    <x v="2"/>
    <n v="44"/>
    <n v="199.31"/>
    <n v="96.81"/>
    <n v="8769.64"/>
    <n v="4509.9999999999991"/>
    <n v="64"/>
  </r>
  <r>
    <n v="80"/>
    <x v="71"/>
    <x v="70"/>
    <x v="3"/>
    <x v="3"/>
    <n v="201"/>
    <n v="53.07"/>
    <n v="41.83"/>
    <n v="10667.07"/>
    <n v="2259.2399999999998"/>
    <n v="39"/>
  </r>
  <r>
    <n v="81"/>
    <x v="72"/>
    <x v="71"/>
    <x v="0"/>
    <x v="1"/>
    <n v="58"/>
    <n v="25.82"/>
    <n v="18.350000000000001"/>
    <n v="1497.56"/>
    <n v="433.25999999999976"/>
    <n v="31"/>
  </r>
  <r>
    <n v="82"/>
    <x v="73"/>
    <x v="72"/>
    <x v="4"/>
    <x v="1"/>
    <n v="26"/>
    <n v="194.51"/>
    <n v="77.33"/>
    <n v="5057.26"/>
    <n v="3046.6800000000003"/>
    <n v="43"/>
  </r>
  <r>
    <n v="83"/>
    <x v="74"/>
    <x v="73"/>
    <x v="0"/>
    <x v="1"/>
    <n v="181"/>
    <n v="12.82"/>
    <n v="10.85"/>
    <n v="2320.42"/>
    <n v="356.57000000000016"/>
    <n v="45"/>
  </r>
  <r>
    <n v="84"/>
    <x v="75"/>
    <x v="74"/>
    <x v="0"/>
    <x v="0"/>
    <n v="229"/>
    <n v="177.8"/>
    <n v="141.09"/>
    <n v="40716.200000000004"/>
    <n v="8406.5900000000038"/>
    <n v="40"/>
  </r>
  <r>
    <n v="85"/>
    <x v="76"/>
    <x v="75"/>
    <x v="4"/>
    <x v="0"/>
    <n v="167"/>
    <n v="282.37"/>
    <n v="245.63"/>
    <n v="47155.79"/>
    <n v="6135.5800000000017"/>
    <n v="31"/>
  </r>
  <r>
    <n v="87"/>
    <x v="77"/>
    <x v="76"/>
    <x v="4"/>
    <x v="3"/>
    <n v="55"/>
    <n v="119.51"/>
    <n v="79.84"/>
    <n v="6573.05"/>
    <n v="2181.8500000000004"/>
    <n v="19"/>
  </r>
  <r>
    <n v="88"/>
    <x v="78"/>
    <x v="77"/>
    <x v="4"/>
    <x v="2"/>
    <n v="382"/>
    <n v="194.77"/>
    <n v="107.31"/>
    <n v="74402.14"/>
    <n v="33409.72"/>
    <n v="62"/>
  </r>
  <r>
    <n v="91"/>
    <x v="79"/>
    <x v="78"/>
    <x v="1"/>
    <x v="0"/>
    <n v="389"/>
    <n v="282.73"/>
    <n v="92.49"/>
    <n v="109981.97"/>
    <n v="74003.360000000001"/>
    <n v="68"/>
  </r>
  <r>
    <n v="92"/>
    <x v="80"/>
    <x v="18"/>
    <x v="4"/>
    <x v="1"/>
    <n v="242"/>
    <n v="118.9"/>
    <n v="37.549999999999997"/>
    <n v="28773.800000000003"/>
    <n v="19686.700000000004"/>
    <n v="24"/>
  </r>
  <r>
    <n v="93"/>
    <x v="81"/>
    <x v="79"/>
    <x v="1"/>
    <x v="3"/>
    <n v="46"/>
    <n v="288.55"/>
    <n v="151.74"/>
    <n v="13273.300000000001"/>
    <n v="6293.26"/>
    <n v="20"/>
  </r>
  <r>
    <n v="94"/>
    <x v="82"/>
    <x v="80"/>
    <x v="1"/>
    <x v="2"/>
    <n v="289"/>
    <n v="272.08"/>
    <n v="213.95"/>
    <n v="78631.12"/>
    <n v="16799.57"/>
    <n v="64"/>
  </r>
  <r>
    <n v="95"/>
    <x v="83"/>
    <x v="81"/>
    <x v="4"/>
    <x v="0"/>
    <n v="358"/>
    <n v="62.76"/>
    <n v="56"/>
    <n v="22468.079999999998"/>
    <n v="2420.0799999999981"/>
    <n v="40"/>
  </r>
  <r>
    <n v="96"/>
    <x v="84"/>
    <x v="82"/>
    <x v="1"/>
    <x v="3"/>
    <n v="311"/>
    <n v="25.46"/>
    <n v="9.94"/>
    <n v="7918.06"/>
    <n v="4826.7200000000012"/>
    <n v="63"/>
  </r>
  <r>
    <n v="99"/>
    <x v="85"/>
    <x v="83"/>
    <x v="2"/>
    <x v="3"/>
    <n v="108"/>
    <n v="32.86"/>
    <n v="28.98"/>
    <n v="3548.88"/>
    <n v="419.03999999999996"/>
    <n v="62"/>
  </r>
  <r>
    <n v="100"/>
    <x v="86"/>
    <x v="84"/>
    <x v="4"/>
    <x v="0"/>
    <n v="197"/>
    <n v="206.49"/>
    <n v="166.28"/>
    <n v="40678.53"/>
    <n v="7921.369999999999"/>
    <n v="35"/>
  </r>
  <r>
    <n v="101"/>
    <x v="87"/>
    <x v="85"/>
    <x v="3"/>
    <x v="1"/>
    <n v="490"/>
    <n v="26"/>
    <n v="20.88"/>
    <n v="12740"/>
    <n v="2508.8000000000011"/>
    <n v="55"/>
  </r>
  <r>
    <n v="102"/>
    <x v="88"/>
    <x v="86"/>
    <x v="4"/>
    <x v="0"/>
    <n v="125"/>
    <n v="99.1"/>
    <n v="57.6"/>
    <n v="12387.5"/>
    <n v="5187.5"/>
    <n v="52"/>
  </r>
  <r>
    <n v="103"/>
    <x v="89"/>
    <x v="87"/>
    <x v="3"/>
    <x v="0"/>
    <n v="200"/>
    <n v="254.24"/>
    <n v="139.55000000000001"/>
    <n v="50848"/>
    <n v="22937.999999999996"/>
    <n v="68"/>
  </r>
  <r>
    <n v="104"/>
    <x v="90"/>
    <x v="88"/>
    <x v="2"/>
    <x v="0"/>
    <n v="262"/>
    <n v="11.87"/>
    <n v="5.51"/>
    <n v="3109.9399999999996"/>
    <n v="1666.3199999999997"/>
    <n v="32"/>
  </r>
  <r>
    <n v="105"/>
    <x v="91"/>
    <x v="89"/>
    <x v="4"/>
    <x v="3"/>
    <n v="478"/>
    <n v="245.27"/>
    <n v="81.88"/>
    <n v="117239.06"/>
    <n v="78100.42"/>
    <n v="42"/>
  </r>
  <r>
    <n v="106"/>
    <x v="92"/>
    <x v="90"/>
    <x v="0"/>
    <x v="3"/>
    <n v="425"/>
    <n v="88.15"/>
    <n v="72.180000000000007"/>
    <n v="37463.75"/>
    <n v="6787.2499999999964"/>
    <n v="54"/>
  </r>
  <r>
    <n v="107"/>
    <x v="93"/>
    <x v="91"/>
    <x v="1"/>
    <x v="0"/>
    <n v="480"/>
    <n v="39.86"/>
    <n v="31.4"/>
    <n v="19132.8"/>
    <n v="4060.7999999999993"/>
    <n v="45"/>
  </r>
  <r>
    <n v="108"/>
    <x v="94"/>
    <x v="92"/>
    <x v="3"/>
    <x v="3"/>
    <n v="170"/>
    <n v="210.54"/>
    <n v="189.45"/>
    <n v="35791.799999999996"/>
    <n v="3585.2999999999993"/>
    <n v="27"/>
  </r>
  <r>
    <n v="109"/>
    <x v="95"/>
    <x v="93"/>
    <x v="1"/>
    <x v="2"/>
    <n v="265"/>
    <n v="190.54"/>
    <n v="171.1"/>
    <n v="50493.1"/>
    <n v="5151.5999999999985"/>
    <n v="56"/>
  </r>
  <r>
    <n v="110"/>
    <x v="96"/>
    <x v="94"/>
    <x v="1"/>
    <x v="2"/>
    <n v="332"/>
    <n v="263.85000000000002"/>
    <n v="167.09"/>
    <n v="87598.200000000012"/>
    <n v="32124.320000000007"/>
    <n v="34"/>
  </r>
  <r>
    <n v="111"/>
    <x v="97"/>
    <x v="95"/>
    <x v="4"/>
    <x v="3"/>
    <n v="137"/>
    <n v="221.85"/>
    <n v="168.91"/>
    <n v="30393.45"/>
    <n v="7252.7800000000025"/>
    <n v="56"/>
  </r>
  <r>
    <n v="112"/>
    <x v="98"/>
    <x v="96"/>
    <x v="1"/>
    <x v="3"/>
    <n v="27"/>
    <n v="242.03"/>
    <n v="209.81"/>
    <n v="6534.81"/>
    <n v="869.94000000000051"/>
    <n v="39"/>
  </r>
  <r>
    <n v="113"/>
    <x v="99"/>
    <x v="97"/>
    <x v="0"/>
    <x v="0"/>
    <n v="290"/>
    <n v="88.2"/>
    <n v="71.42"/>
    <n v="25578"/>
    <n v="4866.2000000000007"/>
    <n v="43"/>
  </r>
  <r>
    <n v="114"/>
    <x v="100"/>
    <x v="98"/>
    <x v="1"/>
    <x v="1"/>
    <n v="499"/>
    <n v="57.34"/>
    <n v="25.71"/>
    <n v="28612.660000000003"/>
    <n v="15783.370000000003"/>
    <n v="61"/>
  </r>
  <r>
    <n v="115"/>
    <x v="101"/>
    <x v="99"/>
    <x v="4"/>
    <x v="3"/>
    <n v="232"/>
    <n v="226.43"/>
    <n v="129.13999999999999"/>
    <n v="52531.76"/>
    <n v="22571.280000000006"/>
    <n v="42"/>
  </r>
  <r>
    <n v="116"/>
    <x v="102"/>
    <x v="100"/>
    <x v="0"/>
    <x v="2"/>
    <n v="63"/>
    <n v="243.02"/>
    <n v="91.74"/>
    <n v="15310.26"/>
    <n v="9530.64"/>
    <n v="34"/>
  </r>
  <r>
    <n v="117"/>
    <x v="103"/>
    <x v="101"/>
    <x v="2"/>
    <x v="0"/>
    <n v="67"/>
    <n v="297.2"/>
    <n v="259.29000000000002"/>
    <n v="19912.399999999998"/>
    <n v="2539.9699999999975"/>
    <n v="30"/>
  </r>
  <r>
    <n v="118"/>
    <x v="104"/>
    <x v="102"/>
    <x v="1"/>
    <x v="3"/>
    <n v="332"/>
    <n v="126.72"/>
    <n v="84.1"/>
    <n v="42071.040000000001"/>
    <n v="14149.840000000004"/>
    <n v="37"/>
  </r>
  <r>
    <n v="120"/>
    <x v="105"/>
    <x v="103"/>
    <x v="2"/>
    <x v="2"/>
    <n v="183"/>
    <n v="234.04"/>
    <n v="164.53"/>
    <n v="42829.32"/>
    <n v="12720.329999999998"/>
    <n v="21"/>
  </r>
  <r>
    <n v="121"/>
    <x v="106"/>
    <x v="104"/>
    <x v="2"/>
    <x v="1"/>
    <n v="289"/>
    <n v="105.54"/>
    <n v="70.8"/>
    <n v="30501.06"/>
    <n v="10039.86"/>
    <n v="27"/>
  </r>
  <r>
    <n v="122"/>
    <x v="107"/>
    <x v="105"/>
    <x v="3"/>
    <x v="0"/>
    <n v="123"/>
    <n v="279.57"/>
    <n v="143.94999999999999"/>
    <n v="34387.11"/>
    <n v="16681.260000000002"/>
    <n v="20"/>
  </r>
  <r>
    <n v="123"/>
    <x v="108"/>
    <x v="106"/>
    <x v="0"/>
    <x v="0"/>
    <n v="297"/>
    <n v="258.23"/>
    <n v="95.06"/>
    <n v="76694.310000000012"/>
    <n v="48461.490000000013"/>
    <n v="58"/>
  </r>
  <r>
    <n v="124"/>
    <x v="109"/>
    <x v="107"/>
    <x v="1"/>
    <x v="1"/>
    <n v="440"/>
    <n v="131.55000000000001"/>
    <n v="92.47"/>
    <n v="57882.000000000007"/>
    <n v="17195.200000000004"/>
    <n v="62"/>
  </r>
  <r>
    <n v="126"/>
    <x v="110"/>
    <x v="108"/>
    <x v="3"/>
    <x v="0"/>
    <n v="160"/>
    <n v="227.59"/>
    <n v="173.74"/>
    <n v="36414.400000000001"/>
    <n v="8616"/>
    <n v="64"/>
  </r>
  <r>
    <n v="127"/>
    <x v="111"/>
    <x v="109"/>
    <x v="0"/>
    <x v="0"/>
    <n v="459"/>
    <n v="35.42"/>
    <n v="21.68"/>
    <n v="16257.78"/>
    <n v="6306.6600000000017"/>
    <n v="53"/>
  </r>
  <r>
    <n v="128"/>
    <x v="112"/>
    <x v="110"/>
    <x v="3"/>
    <x v="3"/>
    <n v="136"/>
    <n v="271.25"/>
    <n v="220.07"/>
    <n v="36890"/>
    <n v="6960.48"/>
    <n v="64"/>
  </r>
  <r>
    <n v="130"/>
    <x v="113"/>
    <x v="111"/>
    <x v="0"/>
    <x v="1"/>
    <n v="499"/>
    <n v="248.8"/>
    <n v="158.38"/>
    <n v="124151.20000000001"/>
    <n v="45119.580000000016"/>
    <n v="51"/>
  </r>
  <r>
    <n v="131"/>
    <x v="114"/>
    <x v="112"/>
    <x v="1"/>
    <x v="3"/>
    <n v="395"/>
    <n v="99.41"/>
    <n v="82.11"/>
    <n v="39266.949999999997"/>
    <n v="6833.4999999999964"/>
    <n v="64"/>
  </r>
  <r>
    <n v="132"/>
    <x v="115"/>
    <x v="113"/>
    <x v="0"/>
    <x v="2"/>
    <n v="483"/>
    <n v="269.18"/>
    <n v="145.91999999999999"/>
    <n v="130013.94"/>
    <n v="59534.58"/>
    <n v="25"/>
  </r>
  <r>
    <n v="133"/>
    <x v="116"/>
    <x v="114"/>
    <x v="3"/>
    <x v="3"/>
    <n v="282"/>
    <n v="119.81"/>
    <n v="45.58"/>
    <n v="33786.42"/>
    <n v="20932.86"/>
    <n v="57"/>
  </r>
  <r>
    <n v="134"/>
    <x v="117"/>
    <x v="115"/>
    <x v="0"/>
    <x v="3"/>
    <n v="113"/>
    <n v="8.1999999999999993"/>
    <n v="2.6"/>
    <n v="926.59999999999991"/>
    <n v="632.79999999999995"/>
    <n v="66"/>
  </r>
  <r>
    <n v="135"/>
    <x v="118"/>
    <x v="116"/>
    <x v="1"/>
    <x v="2"/>
    <n v="426"/>
    <n v="272.08999999999997"/>
    <n v="204.91"/>
    <n v="115910.34"/>
    <n v="28618.679999999993"/>
    <n v="61"/>
  </r>
  <r>
    <n v="136"/>
    <x v="119"/>
    <x v="117"/>
    <x v="1"/>
    <x v="1"/>
    <n v="402"/>
    <n v="31.93"/>
    <n v="21.46"/>
    <n v="12835.86"/>
    <n v="4208.9400000000005"/>
    <n v="36"/>
  </r>
  <r>
    <n v="137"/>
    <x v="120"/>
    <x v="118"/>
    <x v="3"/>
    <x v="2"/>
    <n v="308"/>
    <n v="99.2"/>
    <n v="71.67"/>
    <n v="30553.600000000002"/>
    <n v="8479.2400000000016"/>
    <n v="59"/>
  </r>
  <r>
    <n v="138"/>
    <x v="121"/>
    <x v="119"/>
    <x v="2"/>
    <x v="3"/>
    <n v="255"/>
    <n v="285.27"/>
    <n v="122.03"/>
    <n v="72743.849999999991"/>
    <n v="41626.19999999999"/>
    <n v="58"/>
  </r>
  <r>
    <n v="139"/>
    <x v="122"/>
    <x v="120"/>
    <x v="2"/>
    <x v="1"/>
    <n v="185"/>
    <n v="285.43"/>
    <n v="108.98"/>
    <n v="52804.55"/>
    <n v="32643.250000000004"/>
    <n v="54"/>
  </r>
  <r>
    <n v="140"/>
    <x v="123"/>
    <x v="121"/>
    <x v="0"/>
    <x v="3"/>
    <n v="48"/>
    <n v="174.16"/>
    <n v="53.77"/>
    <n v="8359.68"/>
    <n v="5778.72"/>
    <n v="23"/>
  </r>
  <r>
    <n v="141"/>
    <x v="124"/>
    <x v="122"/>
    <x v="4"/>
    <x v="2"/>
    <n v="486"/>
    <n v="191.39"/>
    <n v="97.68"/>
    <n v="93015.54"/>
    <n v="45543.05999999999"/>
    <n v="69"/>
  </r>
  <r>
    <n v="142"/>
    <x v="125"/>
    <x v="123"/>
    <x v="0"/>
    <x v="2"/>
    <n v="179"/>
    <n v="137.29"/>
    <n v="89.78"/>
    <n v="24574.91"/>
    <n v="8504.2899999999991"/>
    <n v="43"/>
  </r>
  <r>
    <n v="143"/>
    <x v="126"/>
    <x v="124"/>
    <x v="3"/>
    <x v="3"/>
    <n v="256"/>
    <n v="91.5"/>
    <n v="48.98"/>
    <n v="23424"/>
    <n v="10885.12"/>
    <n v="51"/>
  </r>
  <r>
    <n v="146"/>
    <x v="127"/>
    <x v="125"/>
    <x v="3"/>
    <x v="2"/>
    <n v="315"/>
    <n v="226.95"/>
    <n v="115.51"/>
    <n v="71489.25"/>
    <n v="35103.599999999999"/>
    <n v="54"/>
  </r>
  <r>
    <n v="148"/>
    <x v="128"/>
    <x v="126"/>
    <x v="1"/>
    <x v="0"/>
    <n v="417"/>
    <n v="237.94"/>
    <n v="183.26"/>
    <n v="99220.98"/>
    <n v="22801.559999999998"/>
    <n v="39"/>
  </r>
  <r>
    <n v="150"/>
    <x v="129"/>
    <x v="127"/>
    <x v="3"/>
    <x v="3"/>
    <n v="325"/>
    <n v="150.85"/>
    <n v="101.56"/>
    <n v="49026.25"/>
    <n v="16019.25"/>
    <n v="23"/>
  </r>
  <r>
    <n v="151"/>
    <x v="130"/>
    <x v="12"/>
    <x v="3"/>
    <x v="1"/>
    <n v="113"/>
    <n v="89.53"/>
    <n v="64.8"/>
    <n v="10116.89"/>
    <n v="2794.49"/>
    <n v="19"/>
  </r>
  <r>
    <n v="152"/>
    <x v="131"/>
    <x v="83"/>
    <x v="2"/>
    <x v="3"/>
    <n v="108"/>
    <n v="32.86"/>
    <n v="28.98"/>
    <n v="3548.88"/>
    <n v="419.03999999999996"/>
    <n v="62"/>
  </r>
  <r>
    <n v="155"/>
    <x v="132"/>
    <x v="2"/>
    <x v="0"/>
    <x v="2"/>
    <n v="162"/>
    <n v="196.74"/>
    <n v="163.81"/>
    <n v="31871.88"/>
    <n v="5334.66"/>
    <n v="46"/>
  </r>
  <r>
    <n v="156"/>
    <x v="133"/>
    <x v="73"/>
    <x v="0"/>
    <x v="1"/>
    <n v="187"/>
    <n v="12.82"/>
    <n v="10.85"/>
    <n v="2397.34"/>
    <n v="368.3900000000001"/>
    <n v="45"/>
  </r>
  <r>
    <n v="157"/>
    <x v="134"/>
    <x v="128"/>
    <x v="3"/>
    <x v="3"/>
    <n v="378"/>
    <n v="263.83"/>
    <n v="222.47"/>
    <n v="99727.739999999991"/>
    <n v="15634.079999999987"/>
    <n v="61"/>
  </r>
  <r>
    <n v="158"/>
    <x v="135"/>
    <x v="129"/>
    <x v="0"/>
    <x v="3"/>
    <n v="11"/>
    <n v="223.53"/>
    <n v="79.3"/>
    <n v="2458.83"/>
    <n v="1586.53"/>
    <n v="22"/>
  </r>
  <r>
    <n v="159"/>
    <x v="136"/>
    <x v="130"/>
    <x v="1"/>
    <x v="3"/>
    <n v="394"/>
    <n v="210.62"/>
    <n v="103.54"/>
    <n v="82984.28"/>
    <n v="42189.52"/>
    <n v="47"/>
  </r>
  <r>
    <n v="160"/>
    <x v="137"/>
    <x v="131"/>
    <x v="0"/>
    <x v="1"/>
    <n v="313"/>
    <n v="212.23"/>
    <n v="184.65"/>
    <n v="66427.989999999991"/>
    <n v="8632.5399999999863"/>
    <n v="47"/>
  </r>
  <r>
    <n v="161"/>
    <x v="138"/>
    <x v="132"/>
    <x v="0"/>
    <x v="1"/>
    <n v="263"/>
    <n v="111.05"/>
    <n v="96.65"/>
    <n v="29206.149999999998"/>
    <n v="3787.1999999999971"/>
    <n v="34"/>
  </r>
  <r>
    <n v="162"/>
    <x v="139"/>
    <x v="133"/>
    <x v="2"/>
    <x v="0"/>
    <n v="149"/>
    <n v="91.61"/>
    <n v="59"/>
    <n v="13649.89"/>
    <n v="4858.8899999999994"/>
    <n v="65"/>
  </r>
  <r>
    <n v="163"/>
    <x v="140"/>
    <x v="134"/>
    <x v="1"/>
    <x v="3"/>
    <n v="462"/>
    <n v="243.76"/>
    <n v="165.54"/>
    <n v="112617.12"/>
    <n v="36137.64"/>
    <n v="64"/>
  </r>
  <r>
    <n v="164"/>
    <x v="141"/>
    <x v="135"/>
    <x v="1"/>
    <x v="1"/>
    <n v="46"/>
    <n v="243.98"/>
    <n v="138.84"/>
    <n v="11223.08"/>
    <n v="4836.4399999999996"/>
    <n v="40"/>
  </r>
  <r>
    <n v="165"/>
    <x v="142"/>
    <x v="136"/>
    <x v="1"/>
    <x v="0"/>
    <n v="169"/>
    <n v="260.79000000000002"/>
    <n v="124.12"/>
    <n v="44073.51"/>
    <n v="23097.23"/>
    <n v="32"/>
  </r>
  <r>
    <n v="166"/>
    <x v="143"/>
    <x v="137"/>
    <x v="0"/>
    <x v="3"/>
    <n v="18"/>
    <n v="274.41000000000003"/>
    <n v="136.44"/>
    <n v="4939.38"/>
    <n v="2483.46"/>
    <n v="54"/>
  </r>
  <r>
    <n v="167"/>
    <x v="144"/>
    <x v="138"/>
    <x v="3"/>
    <x v="2"/>
    <n v="242"/>
    <n v="155.85"/>
    <n v="109.64"/>
    <n v="37715.699999999997"/>
    <n v="11182.819999999996"/>
    <n v="38"/>
  </r>
  <r>
    <n v="168"/>
    <x v="145"/>
    <x v="139"/>
    <x v="1"/>
    <x v="0"/>
    <n v="108"/>
    <n v="152.94999999999999"/>
    <n v="114.93"/>
    <n v="16518.599999999999"/>
    <n v="4106.159999999998"/>
    <n v="31"/>
  </r>
  <r>
    <n v="169"/>
    <x v="146"/>
    <x v="140"/>
    <x v="0"/>
    <x v="1"/>
    <n v="156"/>
    <n v="240.5"/>
    <n v="186.37"/>
    <n v="37518"/>
    <n v="8444.2799999999988"/>
    <n v="19"/>
  </r>
  <r>
    <n v="170"/>
    <x v="147"/>
    <x v="141"/>
    <x v="2"/>
    <x v="2"/>
    <n v="313"/>
    <n v="196.74"/>
    <n v="152.22999999999999"/>
    <n v="61579.62"/>
    <n v="13931.630000000005"/>
    <n v="28"/>
  </r>
  <r>
    <n v="171"/>
    <x v="148"/>
    <x v="142"/>
    <x v="3"/>
    <x v="2"/>
    <n v="217"/>
    <n v="212.08"/>
    <n v="75.23"/>
    <n v="46021.36"/>
    <n v="29696.449999999997"/>
    <n v="68"/>
  </r>
  <r>
    <n v="172"/>
    <x v="149"/>
    <x v="143"/>
    <x v="2"/>
    <x v="2"/>
    <n v="140"/>
    <n v="239.76"/>
    <n v="143.05000000000001"/>
    <n v="33566.400000000001"/>
    <n v="13539.400000000001"/>
    <n v="56"/>
  </r>
  <r>
    <n v="173"/>
    <x v="150"/>
    <x v="144"/>
    <x v="3"/>
    <x v="0"/>
    <n v="413"/>
    <n v="267.55"/>
    <n v="89.5"/>
    <n v="110498.15000000001"/>
    <n v="73534.650000000009"/>
    <n v="55"/>
  </r>
  <r>
    <n v="174"/>
    <x v="151"/>
    <x v="145"/>
    <x v="0"/>
    <x v="1"/>
    <n v="161"/>
    <n v="104.71"/>
    <n v="65.94"/>
    <n v="16858.309999999998"/>
    <n v="6241.9699999999975"/>
    <n v="51"/>
  </r>
  <r>
    <n v="175"/>
    <x v="152"/>
    <x v="146"/>
    <x v="4"/>
    <x v="2"/>
    <n v="63"/>
    <n v="115.8"/>
    <n v="65.42"/>
    <n v="7295.4"/>
    <n v="3173.9399999999996"/>
    <n v="55"/>
  </r>
  <r>
    <n v="176"/>
    <x v="153"/>
    <x v="147"/>
    <x v="3"/>
    <x v="3"/>
    <n v="129"/>
    <n v="32.72"/>
    <n v="27.24"/>
    <n v="4220.88"/>
    <n v="706.92000000000053"/>
    <n v="67"/>
  </r>
  <r>
    <n v="177"/>
    <x v="154"/>
    <x v="148"/>
    <x v="2"/>
    <x v="2"/>
    <n v="170"/>
    <n v="175.59"/>
    <n v="89.65"/>
    <n v="29850.3"/>
    <n v="14609.799999999997"/>
    <n v="51"/>
  </r>
  <r>
    <n v="178"/>
    <x v="155"/>
    <x v="149"/>
    <x v="0"/>
    <x v="2"/>
    <n v="417"/>
    <n v="15.6"/>
    <n v="5.78"/>
    <n v="6505.2"/>
    <n v="4094.9399999999996"/>
    <n v="35"/>
  </r>
  <r>
    <n v="179"/>
    <x v="156"/>
    <x v="150"/>
    <x v="3"/>
    <x v="0"/>
    <n v="125"/>
    <n v="142.35"/>
    <n v="54.92"/>
    <n v="17793.75"/>
    <n v="10928.75"/>
    <n v="47"/>
  </r>
  <r>
    <n v="180"/>
    <x v="157"/>
    <x v="151"/>
    <x v="4"/>
    <x v="0"/>
    <n v="84"/>
    <n v="165.08"/>
    <n v="124.95"/>
    <n v="13866.720000000001"/>
    <n v="3370.92"/>
    <n v="32"/>
  </r>
  <r>
    <n v="181"/>
    <x v="158"/>
    <x v="152"/>
    <x v="4"/>
    <x v="1"/>
    <n v="122"/>
    <n v="89.53"/>
    <n v="60.07"/>
    <n v="10922.66"/>
    <n v="3594.12"/>
    <n v="44"/>
  </r>
  <r>
    <n v="182"/>
    <x v="159"/>
    <x v="153"/>
    <x v="1"/>
    <x v="3"/>
    <n v="465"/>
    <n v="179.3"/>
    <n v="64.67"/>
    <n v="83374.5"/>
    <n v="53302.95"/>
    <n v="68"/>
  </r>
  <r>
    <n v="183"/>
    <x v="160"/>
    <x v="154"/>
    <x v="1"/>
    <x v="0"/>
    <n v="429"/>
    <n v="14"/>
    <n v="4.91"/>
    <n v="6006"/>
    <n v="3899.61"/>
    <n v="51"/>
  </r>
  <r>
    <n v="184"/>
    <x v="161"/>
    <x v="155"/>
    <x v="2"/>
    <x v="2"/>
    <n v="431"/>
    <n v="16.02"/>
    <n v="11.54"/>
    <n v="6904.62"/>
    <n v="1930.88"/>
    <n v="69"/>
  </r>
  <r>
    <n v="185"/>
    <x v="162"/>
    <x v="156"/>
    <x v="3"/>
    <x v="1"/>
    <n v="113"/>
    <n v="247.67"/>
    <n v="85.11"/>
    <n v="27986.71"/>
    <n v="18369.28"/>
    <n v="55"/>
  </r>
  <r>
    <n v="186"/>
    <x v="163"/>
    <x v="157"/>
    <x v="3"/>
    <x v="2"/>
    <n v="349"/>
    <n v="111.26"/>
    <n v="88.24"/>
    <n v="38829.740000000005"/>
    <n v="8033.9800000000068"/>
    <n v="50"/>
  </r>
  <r>
    <n v="187"/>
    <x v="164"/>
    <x v="158"/>
    <x v="1"/>
    <x v="2"/>
    <n v="263"/>
    <n v="42.48"/>
    <n v="30.74"/>
    <n v="11172.24"/>
    <n v="3087.62"/>
    <n v="41"/>
  </r>
  <r>
    <n v="188"/>
    <x v="165"/>
    <x v="159"/>
    <x v="3"/>
    <x v="0"/>
    <n v="236"/>
    <n v="159.06"/>
    <n v="55.48"/>
    <n v="37538.160000000003"/>
    <n v="24444.880000000005"/>
    <n v="32"/>
  </r>
  <r>
    <n v="189"/>
    <x v="166"/>
    <x v="160"/>
    <x v="3"/>
    <x v="1"/>
    <n v="121"/>
    <n v="232.15"/>
    <n v="81.459999999999994"/>
    <n v="28090.15"/>
    <n v="18233.490000000002"/>
    <n v="47"/>
  </r>
  <r>
    <n v="190"/>
    <x v="167"/>
    <x v="161"/>
    <x v="4"/>
    <x v="3"/>
    <n v="482"/>
    <n v="68.67"/>
    <n v="61.25"/>
    <n v="33098.94"/>
    <n v="3576.4400000000023"/>
    <n v="59"/>
  </r>
  <r>
    <n v="191"/>
    <x v="168"/>
    <x v="162"/>
    <x v="1"/>
    <x v="3"/>
    <n v="108"/>
    <n v="188.75"/>
    <n v="99.01"/>
    <n v="20385"/>
    <n v="9691.92"/>
    <n v="68"/>
  </r>
  <r>
    <n v="192"/>
    <x v="169"/>
    <x v="163"/>
    <x v="0"/>
    <x v="0"/>
    <n v="162"/>
    <n v="30.18"/>
    <n v="15.77"/>
    <n v="4889.16"/>
    <n v="2334.42"/>
    <n v="34"/>
  </r>
  <r>
    <n v="193"/>
    <x v="170"/>
    <x v="164"/>
    <x v="1"/>
    <x v="0"/>
    <n v="358"/>
    <n v="20.25"/>
    <n v="15.95"/>
    <n v="7249.5"/>
    <n v="1539.4000000000005"/>
    <n v="22"/>
  </r>
  <r>
    <n v="194"/>
    <x v="171"/>
    <x v="165"/>
    <x v="0"/>
    <x v="1"/>
    <n v="411"/>
    <n v="161.75"/>
    <n v="140.46"/>
    <n v="66479.25"/>
    <n v="8750.1899999999951"/>
    <n v="46"/>
  </r>
  <r>
    <n v="195"/>
    <x v="172"/>
    <x v="166"/>
    <x v="4"/>
    <x v="3"/>
    <n v="393"/>
    <n v="164.49"/>
    <n v="146.66"/>
    <n v="64644.570000000007"/>
    <n v="7007.1900000000096"/>
    <n v="21"/>
  </r>
  <r>
    <n v="196"/>
    <x v="173"/>
    <x v="167"/>
    <x v="2"/>
    <x v="3"/>
    <n v="375"/>
    <n v="193.04"/>
    <n v="145.16999999999999"/>
    <n v="72390"/>
    <n v="17951.250000000007"/>
    <n v="27"/>
  </r>
  <r>
    <n v="197"/>
    <x v="174"/>
    <x v="168"/>
    <x v="3"/>
    <x v="3"/>
    <n v="347"/>
    <n v="219.2"/>
    <n v="115.25"/>
    <n v="76062.399999999994"/>
    <n v="36070.649999999994"/>
    <n v="34"/>
  </r>
  <r>
    <n v="198"/>
    <x v="175"/>
    <x v="169"/>
    <x v="4"/>
    <x v="2"/>
    <n v="203"/>
    <n v="292.88"/>
    <n v="102.54"/>
    <n v="59454.64"/>
    <n v="38639.019999999997"/>
    <n v="27"/>
  </r>
  <r>
    <n v="199"/>
    <x v="176"/>
    <x v="170"/>
    <x v="3"/>
    <x v="3"/>
    <n v="319"/>
    <n v="157.31"/>
    <n v="120.54"/>
    <n v="50181.89"/>
    <n v="11729.629999999997"/>
    <n v="34"/>
  </r>
  <r>
    <n v="200"/>
    <x v="177"/>
    <x v="171"/>
    <x v="2"/>
    <x v="2"/>
    <n v="172"/>
    <n v="100.27"/>
    <n v="63.68"/>
    <n v="17246.439999999999"/>
    <n v="6293.48"/>
    <n v="37"/>
  </r>
  <r>
    <n v="201"/>
    <x v="178"/>
    <x v="172"/>
    <x v="2"/>
    <x v="1"/>
    <n v="217"/>
    <n v="239.58"/>
    <n v="132.86000000000001"/>
    <n v="51988.86"/>
    <n v="23158.239999999998"/>
    <n v="41"/>
  </r>
  <r>
    <n v="202"/>
    <x v="179"/>
    <x v="173"/>
    <x v="4"/>
    <x v="2"/>
    <n v="454"/>
    <n v="84.9"/>
    <n v="71.64"/>
    <n v="38544.600000000006"/>
    <n v="6020.0400000000045"/>
    <n v="22"/>
  </r>
  <r>
    <n v="203"/>
    <x v="180"/>
    <x v="174"/>
    <x v="2"/>
    <x v="1"/>
    <n v="178"/>
    <n v="134.5"/>
    <n v="49.32"/>
    <n v="23941"/>
    <n v="15162.039999999999"/>
    <n v="51"/>
  </r>
  <r>
    <n v="204"/>
    <x v="181"/>
    <x v="175"/>
    <x v="0"/>
    <x v="3"/>
    <n v="493"/>
    <n v="28.14"/>
    <n v="16.760000000000002"/>
    <n v="13873.02"/>
    <n v="5610.34"/>
    <n v="23"/>
  </r>
  <r>
    <n v="205"/>
    <x v="182"/>
    <x v="176"/>
    <x v="2"/>
    <x v="3"/>
    <n v="170"/>
    <n v="12.48"/>
    <n v="3.83"/>
    <n v="2121.6"/>
    <n v="1470.5"/>
    <n v="19"/>
  </r>
  <r>
    <n v="206"/>
    <x v="183"/>
    <x v="177"/>
    <x v="3"/>
    <x v="1"/>
    <n v="77"/>
    <n v="288.98"/>
    <n v="167.95"/>
    <n v="22251.460000000003"/>
    <n v="9319.3100000000031"/>
    <n v="30"/>
  </r>
  <r>
    <n v="207"/>
    <x v="184"/>
    <x v="178"/>
    <x v="3"/>
    <x v="0"/>
    <n v="298"/>
    <n v="251.61"/>
    <n v="83.98"/>
    <n v="74979.78"/>
    <n v="49953.74"/>
    <n v="60"/>
  </r>
  <r>
    <n v="208"/>
    <x v="185"/>
    <x v="179"/>
    <x v="3"/>
    <x v="1"/>
    <n v="407"/>
    <n v="210.31"/>
    <n v="78.09"/>
    <n v="85596.17"/>
    <n v="53813.539999999994"/>
    <n v="60"/>
  </r>
  <r>
    <n v="209"/>
    <x v="186"/>
    <x v="180"/>
    <x v="3"/>
    <x v="0"/>
    <n v="286"/>
    <n v="125.64"/>
    <n v="46.55"/>
    <n v="35933.040000000001"/>
    <n v="22619.74"/>
    <n v="65"/>
  </r>
  <r>
    <n v="210"/>
    <x v="187"/>
    <x v="181"/>
    <x v="0"/>
    <x v="2"/>
    <n v="313"/>
    <n v="56.12"/>
    <n v="38.700000000000003"/>
    <n v="17565.559999999998"/>
    <n v="5452.4599999999973"/>
    <n v="28"/>
  </r>
  <r>
    <n v="211"/>
    <x v="188"/>
    <x v="182"/>
    <x v="1"/>
    <x v="2"/>
    <n v="413"/>
    <n v="51.15"/>
    <n v="38.24"/>
    <n v="21124.95"/>
    <n v="5331.83"/>
    <n v="68"/>
  </r>
  <r>
    <n v="212"/>
    <x v="189"/>
    <x v="183"/>
    <x v="4"/>
    <x v="2"/>
    <n v="393"/>
    <n v="78.819999999999993"/>
    <n v="51.23"/>
    <n v="30976.26"/>
    <n v="10842.869999999999"/>
    <n v="64"/>
  </r>
  <r>
    <n v="213"/>
    <x v="190"/>
    <x v="184"/>
    <x v="3"/>
    <x v="3"/>
    <n v="401"/>
    <n v="167.02"/>
    <n v="146.53"/>
    <n v="66975.02"/>
    <n v="8216.4900000000052"/>
    <n v="40"/>
  </r>
  <r>
    <n v="214"/>
    <x v="191"/>
    <x v="185"/>
    <x v="2"/>
    <x v="2"/>
    <n v="144"/>
    <n v="215.81"/>
    <n v="113.28"/>
    <n v="31076.639999999999"/>
    <n v="14764.32"/>
    <n v="33"/>
  </r>
  <r>
    <n v="215"/>
    <x v="192"/>
    <x v="186"/>
    <x v="3"/>
    <x v="0"/>
    <n v="204"/>
    <n v="199.76"/>
    <n v="94.17"/>
    <n v="40751.040000000001"/>
    <n v="21540.36"/>
    <n v="48"/>
  </r>
  <r>
    <n v="216"/>
    <x v="193"/>
    <x v="187"/>
    <x v="2"/>
    <x v="2"/>
    <n v="410"/>
    <n v="87.58"/>
    <n v="71.92"/>
    <n v="35907.800000000003"/>
    <n v="6420.6000000000022"/>
    <n v="28"/>
  </r>
  <r>
    <n v="217"/>
    <x v="194"/>
    <x v="188"/>
    <x v="2"/>
    <x v="1"/>
    <n v="137"/>
    <n v="286.69"/>
    <n v="124.47"/>
    <n v="39276.53"/>
    <n v="22224.14"/>
    <n v="33"/>
  </r>
  <r>
    <n v="218"/>
    <x v="195"/>
    <x v="189"/>
    <x v="3"/>
    <x v="1"/>
    <n v="42"/>
    <n v="222.68"/>
    <n v="195.5"/>
    <n v="9352.56"/>
    <n v="1141.5599999999995"/>
    <n v="25"/>
  </r>
  <r>
    <n v="219"/>
    <x v="196"/>
    <x v="190"/>
    <x v="0"/>
    <x v="3"/>
    <n v="185"/>
    <n v="168.53"/>
    <n v="51.79"/>
    <n v="31178.05"/>
    <n v="21596.9"/>
    <n v="21"/>
  </r>
  <r>
    <n v="220"/>
    <x v="197"/>
    <x v="191"/>
    <x v="2"/>
    <x v="1"/>
    <n v="469"/>
    <n v="185.46"/>
    <n v="163.56"/>
    <n v="86980.74"/>
    <n v="10271.100000000006"/>
    <n v="57"/>
  </r>
  <r>
    <n v="221"/>
    <x v="198"/>
    <x v="192"/>
    <x v="2"/>
    <x v="0"/>
    <n v="452"/>
    <n v="128.78"/>
    <n v="41.97"/>
    <n v="58208.56"/>
    <n v="39238.119999999995"/>
    <n v="21"/>
  </r>
  <r>
    <n v="222"/>
    <x v="199"/>
    <x v="193"/>
    <x v="3"/>
    <x v="2"/>
    <n v="380"/>
    <n v="78.08"/>
    <n v="65.17"/>
    <n v="29670.399999999998"/>
    <n v="4905.7999999999956"/>
    <n v="42"/>
  </r>
  <r>
    <n v="223"/>
    <x v="200"/>
    <x v="194"/>
    <x v="2"/>
    <x v="3"/>
    <n v="479"/>
    <n v="110.01"/>
    <n v="67.83"/>
    <n v="52694.79"/>
    <n v="20204.22"/>
    <n v="20"/>
  </r>
  <r>
    <n v="224"/>
    <x v="201"/>
    <x v="195"/>
    <x v="2"/>
    <x v="2"/>
    <n v="384"/>
    <n v="228.56"/>
    <n v="204.74"/>
    <n v="87767.040000000008"/>
    <n v="9146.8800000000047"/>
    <n v="49"/>
  </r>
  <r>
    <n v="225"/>
    <x v="202"/>
    <x v="196"/>
    <x v="3"/>
    <x v="2"/>
    <n v="31"/>
    <n v="9.25"/>
    <n v="3.18"/>
    <n v="286.75"/>
    <n v="188.17000000000002"/>
    <n v="20"/>
  </r>
  <r>
    <n v="226"/>
    <x v="203"/>
    <x v="197"/>
    <x v="3"/>
    <x v="0"/>
    <n v="247"/>
    <n v="39.24"/>
    <n v="24.81"/>
    <n v="9692.2800000000007"/>
    <n v="3564.2100000000009"/>
    <n v="44"/>
  </r>
  <r>
    <n v="227"/>
    <x v="204"/>
    <x v="198"/>
    <x v="4"/>
    <x v="1"/>
    <n v="167"/>
    <n v="18.57"/>
    <n v="16.37"/>
    <n v="3101.19"/>
    <n v="367.40000000000009"/>
    <n v="46"/>
  </r>
  <r>
    <n v="228"/>
    <x v="205"/>
    <x v="199"/>
    <x v="0"/>
    <x v="1"/>
    <n v="47"/>
    <n v="17.010000000000002"/>
    <n v="10.44"/>
    <n v="799.47"/>
    <n v="308.79000000000008"/>
    <n v="49"/>
  </r>
  <r>
    <n v="229"/>
    <x v="206"/>
    <x v="200"/>
    <x v="0"/>
    <x v="2"/>
    <n v="239"/>
    <n v="257.36"/>
    <n v="174.4"/>
    <n v="61509.04"/>
    <n v="19827.440000000002"/>
    <n v="67"/>
  </r>
  <r>
    <n v="230"/>
    <x v="207"/>
    <x v="201"/>
    <x v="2"/>
    <x v="3"/>
    <n v="374"/>
    <n v="212.58"/>
    <n v="152.52000000000001"/>
    <n v="79504.92"/>
    <n v="22462.439999999995"/>
    <n v="68"/>
  </r>
  <r>
    <n v="231"/>
    <x v="208"/>
    <x v="202"/>
    <x v="0"/>
    <x v="1"/>
    <n v="60"/>
    <n v="144.88"/>
    <n v="82.98"/>
    <n v="8692.7999999999993"/>
    <n v="3713.9999999999991"/>
    <n v="36"/>
  </r>
  <r>
    <n v="232"/>
    <x v="209"/>
    <x v="203"/>
    <x v="2"/>
    <x v="3"/>
    <n v="447"/>
    <n v="33.86"/>
    <n v="22.91"/>
    <n v="15135.42"/>
    <n v="4894.6499999999996"/>
    <n v="38"/>
  </r>
  <r>
    <n v="233"/>
    <x v="210"/>
    <x v="204"/>
    <x v="4"/>
    <x v="1"/>
    <n v="273"/>
    <n v="150.03"/>
    <n v="97.61"/>
    <n v="40958.19"/>
    <n v="14310.660000000003"/>
    <n v="22"/>
  </r>
  <r>
    <n v="234"/>
    <x v="211"/>
    <x v="205"/>
    <x v="3"/>
    <x v="3"/>
    <n v="292"/>
    <n v="144.66999999999999"/>
    <n v="121.62"/>
    <n v="42243.64"/>
    <n v="6730.5999999999985"/>
    <n v="35"/>
  </r>
  <r>
    <n v="235"/>
    <x v="212"/>
    <x v="206"/>
    <x v="3"/>
    <x v="0"/>
    <n v="36"/>
    <n v="56.09"/>
    <n v="18.36"/>
    <n v="2019.2400000000002"/>
    <n v="1358.2800000000002"/>
    <n v="45"/>
  </r>
  <r>
    <n v="236"/>
    <x v="213"/>
    <x v="207"/>
    <x v="3"/>
    <x v="3"/>
    <n v="235"/>
    <n v="132.99"/>
    <n v="62.32"/>
    <n v="31252.65"/>
    <n v="16607.45"/>
    <n v="59"/>
  </r>
  <r>
    <n v="237"/>
    <x v="214"/>
    <x v="208"/>
    <x v="0"/>
    <x v="0"/>
    <n v="286"/>
    <n v="122.56"/>
    <n v="106.66"/>
    <n v="35052.160000000003"/>
    <n v="4547.4000000000051"/>
    <n v="39"/>
  </r>
  <r>
    <n v="238"/>
    <x v="215"/>
    <x v="209"/>
    <x v="4"/>
    <x v="0"/>
    <n v="295"/>
    <n v="186.68"/>
    <n v="155.72"/>
    <n v="55070.6"/>
    <n v="9133.1999999999971"/>
    <n v="38"/>
  </r>
  <r>
    <n v="239"/>
    <x v="216"/>
    <x v="210"/>
    <x v="0"/>
    <x v="3"/>
    <n v="106"/>
    <n v="192.35"/>
    <n v="110.29"/>
    <n v="20389.099999999999"/>
    <n v="8698.3599999999988"/>
    <n v="23"/>
  </r>
  <r>
    <n v="240"/>
    <x v="217"/>
    <x v="211"/>
    <x v="0"/>
    <x v="0"/>
    <n v="293"/>
    <n v="18.36"/>
    <n v="12.34"/>
    <n v="5379.48"/>
    <n v="1763.8599999999997"/>
    <n v="18"/>
  </r>
  <r>
    <n v="241"/>
    <x v="218"/>
    <x v="212"/>
    <x v="4"/>
    <x v="2"/>
    <n v="376"/>
    <n v="115.51"/>
    <n v="53.88"/>
    <n v="43431.76"/>
    <n v="23172.880000000001"/>
    <n v="22"/>
  </r>
  <r>
    <n v="242"/>
    <x v="219"/>
    <x v="213"/>
    <x v="4"/>
    <x v="0"/>
    <n v="457"/>
    <n v="189.63"/>
    <n v="78.290000000000006"/>
    <n v="86660.91"/>
    <n v="50882.38"/>
    <n v="58"/>
  </r>
  <r>
    <n v="243"/>
    <x v="220"/>
    <x v="214"/>
    <x v="4"/>
    <x v="1"/>
    <n v="490"/>
    <n v="153.43"/>
    <n v="88.72"/>
    <n v="75180.7"/>
    <n v="31707.899999999994"/>
    <n v="29"/>
  </r>
  <r>
    <n v="244"/>
    <x v="221"/>
    <x v="215"/>
    <x v="4"/>
    <x v="3"/>
    <n v="462"/>
    <n v="257.66000000000003"/>
    <n v="131.91999999999999"/>
    <n v="119038.92000000001"/>
    <n v="58091.880000000019"/>
    <n v="43"/>
  </r>
  <r>
    <n v="245"/>
    <x v="222"/>
    <x v="216"/>
    <x v="3"/>
    <x v="2"/>
    <n v="326"/>
    <n v="199.31"/>
    <n v="129.59"/>
    <n v="64975.06"/>
    <n v="22728.719999999994"/>
    <n v="63"/>
  </r>
  <r>
    <n v="246"/>
    <x v="223"/>
    <x v="217"/>
    <x v="1"/>
    <x v="3"/>
    <n v="313"/>
    <n v="53.07"/>
    <n v="18.399999999999999"/>
    <n v="16610.91"/>
    <n v="10851.71"/>
    <n v="51"/>
  </r>
  <r>
    <n v="247"/>
    <x v="224"/>
    <x v="218"/>
    <x v="1"/>
    <x v="1"/>
    <n v="156"/>
    <n v="25.82"/>
    <n v="22.84"/>
    <n v="4027.92"/>
    <n v="464.88000000000011"/>
    <n v="66"/>
  </r>
  <r>
    <n v="248"/>
    <x v="225"/>
    <x v="219"/>
    <x v="4"/>
    <x v="1"/>
    <n v="13"/>
    <n v="194.51"/>
    <n v="173.45"/>
    <n v="2528.63"/>
    <n v="273.7800000000002"/>
    <n v="31"/>
  </r>
  <r>
    <n v="249"/>
    <x v="226"/>
    <x v="220"/>
    <x v="1"/>
    <x v="1"/>
    <n v="44"/>
    <n v="12.82"/>
    <n v="9.2200000000000006"/>
    <n v="564.08000000000004"/>
    <n v="158.40000000000003"/>
    <n v="43"/>
  </r>
  <r>
    <n v="250"/>
    <x v="227"/>
    <x v="221"/>
    <x v="1"/>
    <x v="0"/>
    <n v="201"/>
    <n v="177.8"/>
    <n v="110.53"/>
    <n v="35737.800000000003"/>
    <n v="13521.270000000004"/>
    <n v="62"/>
  </r>
  <r>
    <n v="251"/>
    <x v="228"/>
    <x v="222"/>
    <x v="4"/>
    <x v="0"/>
    <n v="58"/>
    <n v="282.37"/>
    <n v="137.15"/>
    <n v="16377.460000000001"/>
    <n v="8422.76"/>
    <n v="44"/>
  </r>
  <r>
    <n v="252"/>
    <x v="229"/>
    <x v="223"/>
    <x v="1"/>
    <x v="3"/>
    <n v="26"/>
    <n v="174.76"/>
    <n v="137.76"/>
    <n v="4543.76"/>
    <n v="962.00000000000045"/>
    <n v="26"/>
  </r>
  <r>
    <n v="253"/>
    <x v="230"/>
    <x v="224"/>
    <x v="0"/>
    <x v="3"/>
    <n v="181"/>
    <n v="119.51"/>
    <n v="84.95"/>
    <n v="21631.31"/>
    <n v="6255.3600000000006"/>
    <n v="43"/>
  </r>
  <r>
    <n v="254"/>
    <x v="231"/>
    <x v="225"/>
    <x v="2"/>
    <x v="2"/>
    <n v="229"/>
    <n v="194.77"/>
    <n v="77.430000000000007"/>
    <n v="44602.33"/>
    <n v="26870.86"/>
    <n v="64"/>
  </r>
  <r>
    <n v="255"/>
    <x v="232"/>
    <x v="226"/>
    <x v="2"/>
    <x v="2"/>
    <n v="167"/>
    <n v="140.18"/>
    <n v="118.67"/>
    <n v="23410.06"/>
    <n v="3592.1700000000019"/>
    <n v="39"/>
  </r>
  <r>
    <n v="256"/>
    <x v="233"/>
    <x v="227"/>
    <x v="4"/>
    <x v="3"/>
    <n v="486"/>
    <n v="165.96"/>
    <n v="131.69"/>
    <n v="80656.56"/>
    <n v="16655.22"/>
    <n v="64"/>
  </r>
  <r>
    <n v="257"/>
    <x v="234"/>
    <x v="228"/>
    <x v="3"/>
    <x v="0"/>
    <n v="55"/>
    <n v="282.73"/>
    <n v="245.94"/>
    <n v="15550.150000000001"/>
    <n v="2023.4500000000007"/>
    <n v="47"/>
  </r>
  <r>
    <n v="258"/>
    <x v="235"/>
    <x v="229"/>
    <x v="4"/>
    <x v="1"/>
    <n v="382"/>
    <n v="118.9"/>
    <n v="87.44"/>
    <n v="45419.8"/>
    <n v="12017.720000000001"/>
    <n v="60"/>
  </r>
  <r>
    <n v="259"/>
    <x v="236"/>
    <x v="230"/>
    <x v="3"/>
    <x v="3"/>
    <n v="15"/>
    <n v="288.55"/>
    <n v="192.77"/>
    <n v="4328.25"/>
    <n v="1436.6999999999998"/>
    <n v="65"/>
  </r>
  <r>
    <n v="260"/>
    <x v="237"/>
    <x v="231"/>
    <x v="2"/>
    <x v="2"/>
    <n v="108"/>
    <n v="272.08"/>
    <n v="149.9"/>
    <n v="29384.639999999999"/>
    <n v="13195.439999999999"/>
    <n v="34"/>
  </r>
  <r>
    <n v="261"/>
    <x v="238"/>
    <x v="232"/>
    <x v="4"/>
    <x v="0"/>
    <n v="389"/>
    <n v="62.76"/>
    <n v="53.95"/>
    <n v="24413.64"/>
    <n v="3427.0899999999965"/>
    <n v="43"/>
  </r>
  <r>
    <n v="262"/>
    <x v="239"/>
    <x v="233"/>
    <x v="0"/>
    <x v="3"/>
    <n v="242"/>
    <n v="25.46"/>
    <n v="20.87"/>
    <n v="6161.3200000000006"/>
    <n v="1110.7800000000007"/>
    <n v="53"/>
  </r>
  <r>
    <n v="263"/>
    <x v="240"/>
    <x v="234"/>
    <x v="1"/>
    <x v="3"/>
    <n v="46"/>
    <n v="34.729999999999997"/>
    <n v="11.36"/>
    <n v="1597.58"/>
    <n v="1075.02"/>
    <n v="18"/>
  </r>
  <r>
    <n v="264"/>
    <x v="241"/>
    <x v="235"/>
    <x v="3"/>
    <x v="0"/>
    <n v="289"/>
    <n v="10.38"/>
    <n v="3.28"/>
    <n v="2999.82"/>
    <n v="2051.9"/>
    <n v="25"/>
  </r>
  <r>
    <n v="265"/>
    <x v="242"/>
    <x v="236"/>
    <x v="1"/>
    <x v="3"/>
    <n v="358"/>
    <n v="32.86"/>
    <n v="17.28"/>
    <n v="11763.88"/>
    <n v="5577.6399999999985"/>
    <n v="66"/>
  </r>
  <r>
    <n v="266"/>
    <x v="243"/>
    <x v="237"/>
    <x v="1"/>
    <x v="0"/>
    <n v="311"/>
    <n v="206.49"/>
    <n v="162.37"/>
    <n v="64218.39"/>
    <n v="13721.32"/>
    <n v="52"/>
  </r>
  <r>
    <n v="267"/>
    <x v="244"/>
    <x v="238"/>
    <x v="4"/>
    <x v="1"/>
    <n v="190"/>
    <n v="26"/>
    <n v="23.2"/>
    <n v="4940"/>
    <n v="532"/>
    <n v="69"/>
  </r>
  <r>
    <n v="268"/>
    <x v="245"/>
    <x v="239"/>
    <x v="1"/>
    <x v="0"/>
    <n v="104"/>
    <n v="99.1"/>
    <n v="38.67"/>
    <n v="10306.4"/>
    <n v="6284.7199999999993"/>
    <n v="32"/>
  </r>
  <r>
    <n v="269"/>
    <x v="246"/>
    <x v="240"/>
    <x v="0"/>
    <x v="0"/>
    <n v="108"/>
    <n v="254.24"/>
    <n v="166.9"/>
    <n v="27457.920000000002"/>
    <n v="9432.7200000000012"/>
    <n v="64"/>
  </r>
  <r>
    <n v="270"/>
    <x v="247"/>
    <x v="241"/>
    <x v="1"/>
    <x v="0"/>
    <n v="197"/>
    <n v="11.87"/>
    <n v="6.27"/>
    <n v="2338.39"/>
    <n v="1103.2"/>
    <n v="39"/>
  </r>
  <r>
    <n v="271"/>
    <x v="248"/>
    <x v="242"/>
    <x v="4"/>
    <x v="3"/>
    <n v="490"/>
    <n v="245.27"/>
    <n v="216.32"/>
    <n v="120182.3"/>
    <n v="14185.5"/>
    <n v="31"/>
  </r>
  <r>
    <n v="272"/>
    <x v="249"/>
    <x v="243"/>
    <x v="0"/>
    <x v="3"/>
    <n v="125"/>
    <n v="88.15"/>
    <n v="70.98"/>
    <n v="11018.75"/>
    <n v="2146.25"/>
    <n v="43"/>
  </r>
  <r>
    <n v="273"/>
    <x v="250"/>
    <x v="244"/>
    <x v="2"/>
    <x v="0"/>
    <n v="200"/>
    <n v="39.86"/>
    <n v="32.01"/>
    <n v="7972"/>
    <n v="1570"/>
    <n v="45"/>
  </r>
  <r>
    <n v="274"/>
    <x v="251"/>
    <x v="245"/>
    <x v="1"/>
    <x v="3"/>
    <n v="262"/>
    <n v="210.54"/>
    <n v="122.37"/>
    <n v="55161.479999999996"/>
    <n v="23100.539999999994"/>
    <n v="40"/>
  </r>
  <r>
    <n v="275"/>
    <x v="252"/>
    <x v="246"/>
    <x v="4"/>
    <x v="2"/>
    <n v="478"/>
    <n v="190.54"/>
    <n v="104.59"/>
    <n v="91078.12"/>
    <n v="41084.099999999991"/>
    <n v="31"/>
  </r>
  <r>
    <n v="276"/>
    <x v="253"/>
    <x v="247"/>
    <x v="2"/>
    <x v="2"/>
    <n v="425"/>
    <n v="263.85000000000002"/>
    <n v="122.44"/>
    <n v="112136.25000000001"/>
    <n v="60099.250000000015"/>
    <n v="41"/>
  </r>
  <r>
    <n v="277"/>
    <x v="254"/>
    <x v="248"/>
    <x v="2"/>
    <x v="3"/>
    <n v="480"/>
    <n v="221.85"/>
    <n v="74.06"/>
    <n v="106488"/>
    <n v="70939.199999999997"/>
    <n v="19"/>
  </r>
  <r>
    <n v="278"/>
    <x v="255"/>
    <x v="249"/>
    <x v="3"/>
    <x v="3"/>
    <n v="170"/>
    <n v="242.03"/>
    <n v="198.18"/>
    <n v="41145.1"/>
    <n v="7454.5"/>
    <n v="62"/>
  </r>
  <r>
    <n v="279"/>
    <x v="256"/>
    <x v="250"/>
    <x v="0"/>
    <x v="0"/>
    <n v="265"/>
    <n v="88.2"/>
    <n v="69.48"/>
    <n v="23373"/>
    <n v="4960.7999999999993"/>
    <n v="43"/>
  </r>
  <r>
    <n v="280"/>
    <x v="257"/>
    <x v="251"/>
    <x v="1"/>
    <x v="1"/>
    <n v="332"/>
    <n v="57.34"/>
    <n v="51.6"/>
    <n v="19036.88"/>
    <n v="1905.6800000000003"/>
    <n v="31"/>
  </r>
  <r>
    <n v="281"/>
    <x v="258"/>
    <x v="252"/>
    <x v="4"/>
    <x v="3"/>
    <n v="137"/>
    <n v="226.43"/>
    <n v="203.33"/>
    <n v="31020.91"/>
    <n v="3164.6999999999971"/>
    <n v="68"/>
  </r>
  <r>
    <n v="282"/>
    <x v="259"/>
    <x v="253"/>
    <x v="3"/>
    <x v="2"/>
    <n v="27"/>
    <n v="243.02"/>
    <n v="153.88999999999999"/>
    <n v="6561.54"/>
    <n v="2406.5100000000002"/>
    <n v="24"/>
  </r>
  <r>
    <n v="283"/>
    <x v="260"/>
    <x v="254"/>
    <x v="0"/>
    <x v="0"/>
    <n v="290"/>
    <n v="297.2"/>
    <n v="226.29"/>
    <n v="86188"/>
    <n v="20563.900000000009"/>
    <n v="20"/>
  </r>
  <r>
    <n v="284"/>
    <x v="261"/>
    <x v="255"/>
    <x v="3"/>
    <x v="3"/>
    <n v="499"/>
    <n v="126.72"/>
    <n v="109.85"/>
    <n v="63233.279999999999"/>
    <n v="8418.1300000000047"/>
    <n v="64"/>
  </r>
  <r>
    <n v="285"/>
    <x v="262"/>
    <x v="256"/>
    <x v="0"/>
    <x v="2"/>
    <n v="232"/>
    <n v="114.75"/>
    <n v="92.92"/>
    <n v="26622"/>
    <n v="5064.5600000000013"/>
    <n v="40"/>
  </r>
  <r>
    <n v="286"/>
    <x v="263"/>
    <x v="257"/>
    <x v="0"/>
    <x v="2"/>
    <n v="63"/>
    <n v="234.04"/>
    <n v="104.95"/>
    <n v="14744.519999999999"/>
    <n v="8132.6699999999983"/>
    <n v="63"/>
  </r>
  <r>
    <n v="287"/>
    <x v="264"/>
    <x v="258"/>
    <x v="1"/>
    <x v="1"/>
    <n v="67"/>
    <n v="105.54"/>
    <n v="60.19"/>
    <n v="7071.18"/>
    <n v="3038.4500000000003"/>
    <n v="60"/>
  </r>
  <r>
    <n v="288"/>
    <x v="265"/>
    <x v="259"/>
    <x v="0"/>
    <x v="0"/>
    <n v="332"/>
    <n v="279.57"/>
    <n v="105.54"/>
    <n v="92817.239999999991"/>
    <n v="57777.959999999992"/>
    <n v="64"/>
  </r>
  <r>
    <n v="289"/>
    <x v="266"/>
    <x v="260"/>
    <x v="3"/>
    <x v="0"/>
    <n v="369"/>
    <n v="258.23"/>
    <n v="225.29"/>
    <n v="95286.87000000001"/>
    <n v="12154.860000000015"/>
    <n v="62"/>
  </r>
  <r>
    <n v="290"/>
    <x v="267"/>
    <x v="261"/>
    <x v="0"/>
    <x v="1"/>
    <n v="183"/>
    <n v="131.55000000000001"/>
    <n v="87.31"/>
    <n v="24073.65"/>
    <n v="8095.9200000000019"/>
    <n v="35"/>
  </r>
  <r>
    <n v="291"/>
    <x v="268"/>
    <x v="262"/>
    <x v="1"/>
    <x v="1"/>
    <n v="289"/>
    <n v="226.51"/>
    <n v="99.03"/>
    <n v="65461.39"/>
    <n v="36841.72"/>
    <n v="55"/>
  </r>
  <r>
    <n v="292"/>
    <x v="269"/>
    <x v="263"/>
    <x v="1"/>
    <x v="0"/>
    <n v="123"/>
    <n v="227.59"/>
    <n v="160"/>
    <n v="27993.57"/>
    <n v="8313.57"/>
    <n v="52"/>
  </r>
  <r>
    <n v="293"/>
    <x v="270"/>
    <x v="264"/>
    <x v="3"/>
    <x v="0"/>
    <n v="297"/>
    <n v="35.42"/>
    <n v="23.76"/>
    <n v="10519.74"/>
    <n v="3463.0199999999995"/>
    <n v="68"/>
  </r>
  <r>
    <n v="294"/>
    <x v="271"/>
    <x v="265"/>
    <x v="2"/>
    <x v="3"/>
    <n v="440"/>
    <n v="271.25"/>
    <n v="139.66999999999999"/>
    <n v="119350"/>
    <n v="57895.200000000004"/>
    <n v="32"/>
  </r>
  <r>
    <n v="295"/>
    <x v="272"/>
    <x v="266"/>
    <x v="2"/>
    <x v="3"/>
    <n v="351"/>
    <n v="154.05000000000001"/>
    <n v="56.71"/>
    <n v="54071.55"/>
    <n v="34166.340000000004"/>
    <n v="42"/>
  </r>
  <r>
    <n v="296"/>
    <x v="273"/>
    <x v="267"/>
    <x v="0"/>
    <x v="1"/>
    <n v="160"/>
    <n v="248.8"/>
    <n v="174.89"/>
    <n v="39808"/>
    <n v="11825.600000000002"/>
    <n v="54"/>
  </r>
  <r>
    <n v="297"/>
    <x v="274"/>
    <x v="268"/>
    <x v="4"/>
    <x v="3"/>
    <n v="459"/>
    <n v="99.41"/>
    <n v="60.86"/>
    <n v="45629.189999999995"/>
    <n v="17694.449999999997"/>
    <n v="45"/>
  </r>
  <r>
    <n v="298"/>
    <x v="275"/>
    <x v="269"/>
    <x v="0"/>
    <x v="2"/>
    <n v="136"/>
    <n v="269.18"/>
    <n v="205.49"/>
    <n v="36608.480000000003"/>
    <n v="8661.8400000000038"/>
    <n v="27"/>
  </r>
  <r>
    <n v="299"/>
    <x v="276"/>
    <x v="270"/>
    <x v="3"/>
    <x v="3"/>
    <n v="164"/>
    <n v="119.81"/>
    <n v="73.34"/>
    <n v="19648.84"/>
    <n v="7621.08"/>
    <n v="56"/>
  </r>
  <r>
    <n v="300"/>
    <x v="277"/>
    <x v="271"/>
    <x v="3"/>
    <x v="3"/>
    <n v="499"/>
    <n v="8.1999999999999993"/>
    <n v="6.65"/>
    <n v="4091.7999999999997"/>
    <n v="773.44999999999936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8A0D7-2249-465F-A704-0732357DDBC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showAll="0"/>
    <pivotField numFmtId="164" showAll="0">
      <items count="273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1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C918D-97C6-4042-BB1C-304CE679EFF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numFmtId="164" showAll="0">
      <items count="273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1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907EA-B089-4CDA-B419-5C35DFA4310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3">
    <pivotField showAll="0"/>
    <pivotField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axis="axisRow" numFmtId="164" showAll="0">
      <items count="273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9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1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2"/>
    <field x="11"/>
    <field x="2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Customer Age" fld="10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546C9-CB0F-457A-AB76-191A8C60FB84}" name="Table2" displayName="Table2" ref="A1:K279" totalsRowShown="0" headerRowDxfId="3" headerRowBorderDxfId="2" tableBorderDxfId="1">
  <autoFilter ref="A1:K279" xr:uid="{4B32434A-EFA1-41D0-925D-D9733E3A936A}"/>
  <tableColumns count="11">
    <tableColumn id="1" xr3:uid="{22F3E40A-360D-433F-963D-9407FAC348BD}" name="Order ID"/>
    <tableColumn id="2" xr3:uid="{536B3844-8950-4D99-869C-EEB84400E702}" name="Order Code"/>
    <tableColumn id="3" xr3:uid="{EC35A340-4E6E-4789-841F-5B03AA0D9288}" name="Order Date" dataDxfId="0"/>
    <tableColumn id="4" xr3:uid="{B37E2AAB-394E-42D1-B337-578BD47CCDE8}" name="Item Type"/>
    <tableColumn id="5" xr3:uid="{9B036C99-2452-484C-A598-6A515736C12B}" name="Region"/>
    <tableColumn id="6" xr3:uid="{BD1443CB-2E8A-4D27-8563-498F7752DA3D}" name="Units Sold"/>
    <tableColumn id="7" xr3:uid="{860C4F3C-3011-4AD6-BA55-D63B7BBB0850}" name="Unit Price"/>
    <tableColumn id="8" xr3:uid="{70AD6BC8-FCDB-4381-B9CE-1D84AA1C8614}" name="Unit Cost"/>
    <tableColumn id="9" xr3:uid="{6759CA95-1665-4579-8CDE-2C583CBC2F1B}" name="Total Revenue">
      <calculatedColumnFormula>F2*G2</calculatedColumnFormula>
    </tableColumn>
    <tableColumn id="10" xr3:uid="{2DBBA7B2-DA14-4F1D-8C04-172DFBB2319F}" name="Total Profit">
      <calculatedColumnFormula xml:space="preserve"> I2 - (F2 * H2)</calculatedColumnFormula>
    </tableColumn>
    <tableColumn id="11" xr3:uid="{4EDEE7BB-77D8-4CC0-87A0-A27A5104EF50}" name="Customer 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9474-2341-4702-BC7E-DB8E4C759ED4}">
  <dimension ref="A3:B9"/>
  <sheetViews>
    <sheetView rightToLeft="1" workbookViewId="0">
      <selection activeCell="A3" sqref="A3:B9"/>
    </sheetView>
  </sheetViews>
  <sheetFormatPr defaultRowHeight="13.8" x14ac:dyDescent="0.25"/>
  <cols>
    <col min="1" max="1" width="12.796875" bestFit="1" customWidth="1"/>
    <col min="2" max="2" width="20.5" bestFit="1" customWidth="1"/>
  </cols>
  <sheetData>
    <row r="3" spans="1:2" x14ac:dyDescent="0.25">
      <c r="A3" s="11" t="s">
        <v>310</v>
      </c>
      <c r="B3" t="s">
        <v>307</v>
      </c>
    </row>
    <row r="4" spans="1:2" x14ac:dyDescent="0.25">
      <c r="A4" s="12" t="s">
        <v>36</v>
      </c>
      <c r="B4" s="22">
        <v>2705392.0899999989</v>
      </c>
    </row>
    <row r="5" spans="1:2" x14ac:dyDescent="0.25">
      <c r="A5" s="12" t="s">
        <v>23</v>
      </c>
      <c r="B5" s="22">
        <v>2024043.6500000001</v>
      </c>
    </row>
    <row r="6" spans="1:2" x14ac:dyDescent="0.25">
      <c r="A6" s="12" t="s">
        <v>45</v>
      </c>
      <c r="B6" s="22">
        <v>2064812.6399999994</v>
      </c>
    </row>
    <row r="7" spans="1:2" x14ac:dyDescent="0.25">
      <c r="A7" s="12" t="s">
        <v>15</v>
      </c>
      <c r="B7" s="22">
        <v>1892593.0799999998</v>
      </c>
    </row>
    <row r="8" spans="1:2" x14ac:dyDescent="0.25">
      <c r="A8" s="12" t="s">
        <v>12</v>
      </c>
      <c r="B8" s="22">
        <v>1816135.5299999998</v>
      </c>
    </row>
    <row r="9" spans="1:2" x14ac:dyDescent="0.25">
      <c r="A9" s="12" t="s">
        <v>311</v>
      </c>
      <c r="B9" s="22">
        <v>10502976.989999998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624A-A78F-4CFF-A26B-0ABD1A2367EC}">
  <dimension ref="A3:B8"/>
  <sheetViews>
    <sheetView rightToLeft="1" workbookViewId="0">
      <selection activeCell="A3" sqref="A3:B8"/>
    </sheetView>
  </sheetViews>
  <sheetFormatPr defaultRowHeight="13.8" x14ac:dyDescent="0.25"/>
  <cols>
    <col min="1" max="1" width="12.796875" bestFit="1" customWidth="1"/>
    <col min="2" max="2" width="17.296875" bestFit="1" customWidth="1"/>
  </cols>
  <sheetData>
    <row r="3" spans="1:2" x14ac:dyDescent="0.25">
      <c r="A3" s="11" t="s">
        <v>310</v>
      </c>
      <c r="B3" t="s">
        <v>308</v>
      </c>
    </row>
    <row r="4" spans="1:2" x14ac:dyDescent="0.25">
      <c r="A4" s="12" t="s">
        <v>13</v>
      </c>
      <c r="B4" s="22">
        <v>1004141.1199999998</v>
      </c>
    </row>
    <row r="5" spans="1:2" x14ac:dyDescent="0.25">
      <c r="A5" s="12" t="s">
        <v>18</v>
      </c>
      <c r="B5" s="22">
        <v>984926.94</v>
      </c>
    </row>
    <row r="6" spans="1:2" x14ac:dyDescent="0.25">
      <c r="A6" s="12" t="s">
        <v>16</v>
      </c>
      <c r="B6" s="22">
        <v>814049.9500000003</v>
      </c>
    </row>
    <row r="7" spans="1:2" x14ac:dyDescent="0.25">
      <c r="A7" s="12" t="s">
        <v>33</v>
      </c>
      <c r="B7" s="22">
        <v>1219681.8899999997</v>
      </c>
    </row>
    <row r="8" spans="1:2" x14ac:dyDescent="0.25">
      <c r="A8" s="12" t="s">
        <v>311</v>
      </c>
      <c r="B8" s="22">
        <v>4022799.8999999994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702C-4D83-44A0-8CC9-5F802FCECF96}">
  <dimension ref="A3:I28"/>
  <sheetViews>
    <sheetView rightToLeft="1" tabSelected="1" topLeftCell="A7" workbookViewId="0">
      <selection activeCell="C23" sqref="C23"/>
    </sheetView>
  </sheetViews>
  <sheetFormatPr defaultRowHeight="13.8" x14ac:dyDescent="0.25"/>
  <cols>
    <col min="1" max="1" width="12.796875" bestFit="1" customWidth="1"/>
    <col min="2" max="2" width="23.8984375" bestFit="1" customWidth="1"/>
  </cols>
  <sheetData>
    <row r="3" spans="1:2" x14ac:dyDescent="0.25">
      <c r="A3" s="11" t="s">
        <v>310</v>
      </c>
      <c r="B3" t="s">
        <v>309</v>
      </c>
    </row>
    <row r="4" spans="1:2" x14ac:dyDescent="0.25">
      <c r="A4" s="12" t="s">
        <v>312</v>
      </c>
      <c r="B4" s="22">
        <v>35.392857142857146</v>
      </c>
    </row>
    <row r="5" spans="1:2" x14ac:dyDescent="0.25">
      <c r="A5" s="12" t="s">
        <v>315</v>
      </c>
      <c r="B5" s="22">
        <v>41</v>
      </c>
    </row>
    <row r="6" spans="1:2" x14ac:dyDescent="0.25">
      <c r="A6" s="12" t="s">
        <v>313</v>
      </c>
      <c r="B6" s="22">
        <v>44.142857142857146</v>
      </c>
    </row>
    <row r="7" spans="1:2" x14ac:dyDescent="0.25">
      <c r="A7" s="12" t="s">
        <v>314</v>
      </c>
      <c r="B7" s="22">
        <v>46</v>
      </c>
    </row>
    <row r="8" spans="1:2" x14ac:dyDescent="0.25">
      <c r="A8" s="12" t="s">
        <v>316</v>
      </c>
      <c r="B8" s="22">
        <v>49.208333333333336</v>
      </c>
    </row>
    <row r="9" spans="1:2" x14ac:dyDescent="0.25">
      <c r="A9" s="12" t="s">
        <v>317</v>
      </c>
      <c r="B9" s="22">
        <v>47.866666666666667</v>
      </c>
    </row>
    <row r="10" spans="1:2" x14ac:dyDescent="0.25">
      <c r="A10" s="12" t="s">
        <v>318</v>
      </c>
      <c r="B10" s="22">
        <v>40.064516129032256</v>
      </c>
    </row>
    <row r="11" spans="1:2" x14ac:dyDescent="0.25">
      <c r="A11" s="12" t="s">
        <v>319</v>
      </c>
      <c r="B11" s="22">
        <v>40.161290322580648</v>
      </c>
    </row>
    <row r="12" spans="1:2" x14ac:dyDescent="0.25">
      <c r="A12" s="12" t="s">
        <v>320</v>
      </c>
      <c r="B12" s="22">
        <v>45.466666666666669</v>
      </c>
    </row>
    <row r="13" spans="1:2" x14ac:dyDescent="0.25">
      <c r="A13" s="12" t="s">
        <v>321</v>
      </c>
      <c r="B13" s="22">
        <v>47.227272727272727</v>
      </c>
    </row>
    <row r="14" spans="1:2" x14ac:dyDescent="0.25">
      <c r="A14" s="12" t="s">
        <v>311</v>
      </c>
      <c r="B14" s="22">
        <v>43.5</v>
      </c>
    </row>
    <row r="22" spans="9:9" ht="25.2" x14ac:dyDescent="0.25">
      <c r="I22" s="23" t="s">
        <v>322</v>
      </c>
    </row>
    <row r="23" spans="9:9" ht="15.6" x14ac:dyDescent="0.25">
      <c r="I23" s="24" t="s">
        <v>323</v>
      </c>
    </row>
    <row r="24" spans="9:9" ht="15.6" x14ac:dyDescent="0.25">
      <c r="I24" s="24" t="s">
        <v>323</v>
      </c>
    </row>
    <row r="25" spans="9:9" ht="15.6" x14ac:dyDescent="0.25">
      <c r="I25" s="24" t="s">
        <v>323</v>
      </c>
    </row>
    <row r="26" spans="9:9" ht="20.399999999999999" x14ac:dyDescent="0.25">
      <c r="I26" s="25" t="s">
        <v>324</v>
      </c>
    </row>
    <row r="27" spans="9:9" ht="20.399999999999999" x14ac:dyDescent="0.25">
      <c r="I27" s="25" t="s">
        <v>325</v>
      </c>
    </row>
    <row r="28" spans="9:9" ht="15.6" x14ac:dyDescent="0.25">
      <c r="I28" s="24" t="s">
        <v>323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2B8D-9393-424E-B67F-92E237237E16}">
  <dimension ref="A1:Q287"/>
  <sheetViews>
    <sheetView topLeftCell="A2" workbookViewId="0">
      <selection activeCell="K8" sqref="K8"/>
    </sheetView>
  </sheetViews>
  <sheetFormatPr defaultRowHeight="13.8" x14ac:dyDescent="0.25"/>
  <cols>
    <col min="1" max="1" width="12.296875" bestFit="1" customWidth="1"/>
    <col min="2" max="2" width="14.8984375" bestFit="1" customWidth="1"/>
    <col min="3" max="3" width="25.19921875" bestFit="1" customWidth="1"/>
    <col min="4" max="4" width="13.59765625" bestFit="1" customWidth="1"/>
    <col min="5" max="5" width="11" bestFit="1" customWidth="1"/>
    <col min="6" max="6" width="13.8984375" bestFit="1" customWidth="1"/>
    <col min="7" max="7" width="13.59765625" bestFit="1" customWidth="1"/>
    <col min="8" max="8" width="13" bestFit="1" customWidth="1"/>
    <col min="9" max="9" width="16.8984375" bestFit="1" customWidth="1"/>
    <col min="10" max="10" width="14.3984375" bestFit="1" customWidth="1"/>
    <col min="11" max="11" width="16.8984375" bestFit="1" customWidth="1"/>
    <col min="13" max="14" width="25.19921875" bestFit="1" customWidth="1"/>
    <col min="15" max="15" width="9.19921875" customWidth="1"/>
    <col min="16" max="16" width="28.19921875" customWidth="1"/>
    <col min="17" max="17" width="31.5976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7" x14ac:dyDescent="0.25">
      <c r="A2">
        <v>2</v>
      </c>
      <c r="B2" t="s">
        <v>11</v>
      </c>
      <c r="C2" s="2">
        <v>44928</v>
      </c>
      <c r="D2" t="s">
        <v>12</v>
      </c>
      <c r="E2" t="s">
        <v>13</v>
      </c>
      <c r="F2">
        <v>140</v>
      </c>
      <c r="G2">
        <v>152.94999999999999</v>
      </c>
      <c r="H2">
        <v>96.32</v>
      </c>
      <c r="I2">
        <f>F2*G2</f>
        <v>21413</v>
      </c>
      <c r="J2">
        <f xml:space="preserve"> I2 - (F2 * H2)</f>
        <v>7928.2000000000007</v>
      </c>
      <c r="K2">
        <v>34</v>
      </c>
    </row>
    <row r="3" spans="1:17" x14ac:dyDescent="0.25">
      <c r="A3">
        <v>3</v>
      </c>
      <c r="B3" t="s">
        <v>14</v>
      </c>
      <c r="C3" s="2">
        <v>44929</v>
      </c>
      <c r="D3" t="s">
        <v>15</v>
      </c>
      <c r="E3" t="s">
        <v>16</v>
      </c>
      <c r="F3">
        <v>413</v>
      </c>
      <c r="G3">
        <v>240.5</v>
      </c>
      <c r="H3">
        <v>135.86000000000001</v>
      </c>
      <c r="I3">
        <f t="shared" ref="I3:I66" si="0">F3*G3</f>
        <v>99326.5</v>
      </c>
      <c r="J3">
        <f t="shared" ref="J3:J66" si="1" xml:space="preserve"> I3 - (F3 * H3)</f>
        <v>43216.319999999992</v>
      </c>
      <c r="K3">
        <v>22</v>
      </c>
    </row>
    <row r="4" spans="1:17" x14ac:dyDescent="0.25">
      <c r="A4">
        <v>4</v>
      </c>
      <c r="B4" t="s">
        <v>17</v>
      </c>
      <c r="C4" s="2">
        <v>44930</v>
      </c>
      <c r="D4" t="s">
        <v>12</v>
      </c>
      <c r="E4" t="s">
        <v>18</v>
      </c>
      <c r="F4">
        <v>161</v>
      </c>
      <c r="G4">
        <v>196.74</v>
      </c>
      <c r="H4">
        <v>163.81</v>
      </c>
      <c r="I4">
        <f t="shared" si="0"/>
        <v>31675.140000000003</v>
      </c>
      <c r="J4">
        <f t="shared" si="1"/>
        <v>5301.7300000000032</v>
      </c>
      <c r="K4">
        <v>46</v>
      </c>
    </row>
    <row r="5" spans="1:17" ht="21" x14ac:dyDescent="0.4">
      <c r="A5">
        <v>5</v>
      </c>
      <c r="B5" t="s">
        <v>19</v>
      </c>
      <c r="C5" s="2">
        <v>44931</v>
      </c>
      <c r="D5" t="s">
        <v>12</v>
      </c>
      <c r="E5" t="s">
        <v>18</v>
      </c>
      <c r="F5">
        <v>63</v>
      </c>
      <c r="G5">
        <v>212.08</v>
      </c>
      <c r="H5">
        <v>108.28</v>
      </c>
      <c r="I5">
        <f t="shared" si="0"/>
        <v>13361.04</v>
      </c>
      <c r="J5">
        <f t="shared" si="1"/>
        <v>6539.4000000000005</v>
      </c>
      <c r="K5">
        <v>21</v>
      </c>
      <c r="M5" s="16" t="s">
        <v>20</v>
      </c>
      <c r="N5" s="16"/>
      <c r="P5" s="17" t="s">
        <v>21</v>
      </c>
      <c r="Q5" s="17"/>
    </row>
    <row r="6" spans="1:17" ht="21" x14ac:dyDescent="0.4">
      <c r="A6">
        <v>6</v>
      </c>
      <c r="B6" t="s">
        <v>22</v>
      </c>
      <c r="C6" s="2">
        <v>44932</v>
      </c>
      <c r="D6" t="s">
        <v>23</v>
      </c>
      <c r="E6" t="s">
        <v>18</v>
      </c>
      <c r="F6">
        <v>129</v>
      </c>
      <c r="G6">
        <v>239.76</v>
      </c>
      <c r="H6">
        <v>88.77</v>
      </c>
      <c r="I6">
        <f t="shared" si="0"/>
        <v>30929.039999999997</v>
      </c>
      <c r="J6">
        <f t="shared" si="1"/>
        <v>19477.71</v>
      </c>
      <c r="K6">
        <v>27</v>
      </c>
      <c r="M6" s="3" t="s">
        <v>24</v>
      </c>
      <c r="N6" s="4">
        <f>AVERAGE(F:F)</f>
        <v>258.41007194244605</v>
      </c>
      <c r="P6" s="18">
        <f>CORREL(F:F, I:I)</f>
        <v>0.61560071405281702</v>
      </c>
      <c r="Q6" s="18"/>
    </row>
    <row r="7" spans="1:17" ht="21" x14ac:dyDescent="0.4">
      <c r="A7">
        <v>7</v>
      </c>
      <c r="B7" t="s">
        <v>25</v>
      </c>
      <c r="C7" s="2">
        <v>44933</v>
      </c>
      <c r="D7" t="s">
        <v>15</v>
      </c>
      <c r="E7" t="s">
        <v>13</v>
      </c>
      <c r="F7">
        <v>170</v>
      </c>
      <c r="G7">
        <v>267.55</v>
      </c>
      <c r="H7">
        <v>103.22</v>
      </c>
      <c r="I7">
        <f t="shared" si="0"/>
        <v>45483.5</v>
      </c>
      <c r="J7">
        <f t="shared" si="1"/>
        <v>27936.1</v>
      </c>
      <c r="K7">
        <v>34</v>
      </c>
      <c r="M7" s="5" t="s">
        <v>26</v>
      </c>
      <c r="N7" s="6">
        <f>MEDIAN(F:F)</f>
        <v>255.5</v>
      </c>
    </row>
    <row r="8" spans="1:17" ht="21" x14ac:dyDescent="0.4">
      <c r="A8">
        <v>8</v>
      </c>
      <c r="B8" t="s">
        <v>27</v>
      </c>
      <c r="C8" s="2">
        <v>44934</v>
      </c>
      <c r="D8" t="s">
        <v>15</v>
      </c>
      <c r="E8" t="s">
        <v>16</v>
      </c>
      <c r="F8">
        <v>417</v>
      </c>
      <c r="G8">
        <v>104.71</v>
      </c>
      <c r="H8">
        <v>79.260000000000005</v>
      </c>
      <c r="I8">
        <f t="shared" si="0"/>
        <v>43664.07</v>
      </c>
      <c r="J8">
        <f t="shared" si="1"/>
        <v>10612.649999999994</v>
      </c>
      <c r="K8">
        <v>27</v>
      </c>
      <c r="M8" s="3" t="s">
        <v>28</v>
      </c>
      <c r="N8" s="4">
        <f>_xlfn.MODE.SNGL(F:F)</f>
        <v>108</v>
      </c>
      <c r="P8" s="19" t="s">
        <v>29</v>
      </c>
      <c r="Q8" s="19"/>
    </row>
    <row r="9" spans="1:17" ht="21" x14ac:dyDescent="0.4">
      <c r="A9">
        <v>9</v>
      </c>
      <c r="B9" t="s">
        <v>30</v>
      </c>
      <c r="C9" s="2">
        <v>44935</v>
      </c>
      <c r="D9" t="s">
        <v>15</v>
      </c>
      <c r="E9" t="s">
        <v>18</v>
      </c>
      <c r="F9">
        <v>125</v>
      </c>
      <c r="G9">
        <v>115.8</v>
      </c>
      <c r="H9">
        <v>77.69</v>
      </c>
      <c r="I9">
        <f t="shared" si="0"/>
        <v>14475</v>
      </c>
      <c r="J9">
        <f t="shared" si="1"/>
        <v>4763.75</v>
      </c>
      <c r="K9">
        <v>34</v>
      </c>
      <c r="M9" s="5" t="s">
        <v>31</v>
      </c>
      <c r="N9" s="6">
        <f>MAX(F:F) - MIN(F:F)</f>
        <v>488</v>
      </c>
      <c r="P9" s="20">
        <f>CORREL(G:G, J:J)</f>
        <v>0.53668057256950841</v>
      </c>
      <c r="Q9" s="20"/>
    </row>
    <row r="10" spans="1:17" ht="21" x14ac:dyDescent="0.4">
      <c r="A10">
        <v>10</v>
      </c>
      <c r="B10" t="s">
        <v>32</v>
      </c>
      <c r="C10" s="2">
        <v>44936</v>
      </c>
      <c r="D10" t="s">
        <v>12</v>
      </c>
      <c r="E10" t="s">
        <v>33</v>
      </c>
      <c r="F10">
        <v>84</v>
      </c>
      <c r="G10">
        <v>32.72</v>
      </c>
      <c r="H10">
        <v>11.8</v>
      </c>
      <c r="I10">
        <f t="shared" si="0"/>
        <v>2748.48</v>
      </c>
      <c r="J10">
        <f t="shared" si="1"/>
        <v>1757.28</v>
      </c>
      <c r="K10">
        <v>37</v>
      </c>
      <c r="M10" s="3" t="s">
        <v>34</v>
      </c>
      <c r="N10" s="4">
        <f>_xlfn.STDEV.S(F:F)</f>
        <v>142.26813109627392</v>
      </c>
    </row>
    <row r="11" spans="1:17" ht="21" x14ac:dyDescent="0.4">
      <c r="A11">
        <v>11</v>
      </c>
      <c r="B11" t="s">
        <v>35</v>
      </c>
      <c r="C11" s="2">
        <v>45000</v>
      </c>
      <c r="D11" t="s">
        <v>36</v>
      </c>
      <c r="E11" t="s">
        <v>18</v>
      </c>
      <c r="F11">
        <v>122</v>
      </c>
      <c r="G11">
        <v>175.59</v>
      </c>
      <c r="H11">
        <v>61.54</v>
      </c>
      <c r="I11">
        <f t="shared" si="0"/>
        <v>21421.98</v>
      </c>
      <c r="J11">
        <f t="shared" si="1"/>
        <v>13914.099999999999</v>
      </c>
      <c r="K11">
        <v>41</v>
      </c>
      <c r="P11" s="21" t="s">
        <v>37</v>
      </c>
      <c r="Q11" s="21"/>
    </row>
    <row r="12" spans="1:17" ht="21" x14ac:dyDescent="0.4">
      <c r="A12">
        <v>12</v>
      </c>
      <c r="B12" t="s">
        <v>38</v>
      </c>
      <c r="C12" s="2">
        <v>44938</v>
      </c>
      <c r="D12" t="s">
        <v>15</v>
      </c>
      <c r="E12" t="s">
        <v>18</v>
      </c>
      <c r="F12">
        <v>465</v>
      </c>
      <c r="G12">
        <v>15.6</v>
      </c>
      <c r="H12">
        <v>11.24</v>
      </c>
      <c r="I12">
        <f t="shared" si="0"/>
        <v>7254</v>
      </c>
      <c r="J12">
        <f t="shared" si="1"/>
        <v>2027.3999999999996</v>
      </c>
      <c r="K12">
        <v>22</v>
      </c>
      <c r="M12" s="13" t="s">
        <v>6</v>
      </c>
      <c r="N12" s="13"/>
      <c r="P12" s="14">
        <f>CORREL(K:K, F:F)</f>
        <v>2.6529977274056381E-2</v>
      </c>
      <c r="Q12" s="14"/>
    </row>
    <row r="13" spans="1:17" ht="21" x14ac:dyDescent="0.4">
      <c r="A13">
        <v>14</v>
      </c>
      <c r="B13" t="s">
        <v>39</v>
      </c>
      <c r="C13" s="2">
        <v>44940</v>
      </c>
      <c r="D13" t="s">
        <v>23</v>
      </c>
      <c r="E13" t="s">
        <v>13</v>
      </c>
      <c r="F13">
        <v>431</v>
      </c>
      <c r="G13">
        <v>165.08</v>
      </c>
      <c r="H13">
        <v>130.93</v>
      </c>
      <c r="I13">
        <f t="shared" si="0"/>
        <v>71149.48000000001</v>
      </c>
      <c r="J13">
        <f t="shared" si="1"/>
        <v>14718.650000000009</v>
      </c>
      <c r="K13">
        <v>23</v>
      </c>
      <c r="M13" s="7" t="s">
        <v>24</v>
      </c>
      <c r="N13" s="8">
        <f>AVERAGE(G:G)</f>
        <v>151.15794964028782</v>
      </c>
    </row>
    <row r="14" spans="1:17" ht="21" x14ac:dyDescent="0.4">
      <c r="A14">
        <v>15</v>
      </c>
      <c r="B14" t="s">
        <v>40</v>
      </c>
      <c r="C14" s="2">
        <v>44941</v>
      </c>
      <c r="D14" t="s">
        <v>36</v>
      </c>
      <c r="E14" t="s">
        <v>16</v>
      </c>
      <c r="F14">
        <v>113</v>
      </c>
      <c r="G14">
        <v>89.53</v>
      </c>
      <c r="H14">
        <v>64.8</v>
      </c>
      <c r="I14">
        <f t="shared" si="0"/>
        <v>10116.89</v>
      </c>
      <c r="J14">
        <f t="shared" si="1"/>
        <v>2794.49</v>
      </c>
      <c r="K14">
        <v>19</v>
      </c>
      <c r="M14" s="9" t="s">
        <v>26</v>
      </c>
      <c r="N14" s="6">
        <f>MEDIAN(G:G)</f>
        <v>156.57999999999998</v>
      </c>
    </row>
    <row r="15" spans="1:17" ht="21" x14ac:dyDescent="0.4">
      <c r="A15">
        <v>16</v>
      </c>
      <c r="B15" t="s">
        <v>41</v>
      </c>
      <c r="C15" s="2">
        <v>44942</v>
      </c>
      <c r="D15" t="s">
        <v>23</v>
      </c>
      <c r="E15" t="s">
        <v>33</v>
      </c>
      <c r="F15">
        <v>349</v>
      </c>
      <c r="G15">
        <v>12.5</v>
      </c>
      <c r="H15">
        <v>62.54</v>
      </c>
      <c r="I15">
        <f t="shared" si="0"/>
        <v>4362.5</v>
      </c>
      <c r="J15">
        <f t="shared" si="1"/>
        <v>-17463.96</v>
      </c>
      <c r="K15">
        <v>30</v>
      </c>
      <c r="M15" s="7" t="s">
        <v>28</v>
      </c>
      <c r="N15" s="8">
        <f>_xlfn.MODE.SNGL(G:G)</f>
        <v>196.74</v>
      </c>
    </row>
    <row r="16" spans="1:17" ht="21" x14ac:dyDescent="0.4">
      <c r="A16">
        <v>17</v>
      </c>
      <c r="B16" t="s">
        <v>42</v>
      </c>
      <c r="C16" s="2">
        <v>44943</v>
      </c>
      <c r="D16" t="s">
        <v>36</v>
      </c>
      <c r="E16" t="s">
        <v>13</v>
      </c>
      <c r="F16">
        <v>263</v>
      </c>
      <c r="G16">
        <v>14</v>
      </c>
      <c r="H16">
        <v>4.91</v>
      </c>
      <c r="I16">
        <f t="shared" si="0"/>
        <v>3682</v>
      </c>
      <c r="J16">
        <f t="shared" si="1"/>
        <v>2390.67</v>
      </c>
      <c r="K16">
        <v>60</v>
      </c>
      <c r="M16" s="9" t="s">
        <v>31</v>
      </c>
      <c r="N16" s="6">
        <f>MAX(G:G) - MIN(G:G)</f>
        <v>289</v>
      </c>
    </row>
    <row r="17" spans="1:14" ht="21" x14ac:dyDescent="0.4">
      <c r="A17">
        <v>18</v>
      </c>
      <c r="B17" t="s">
        <v>43</v>
      </c>
      <c r="C17" s="2">
        <v>44944</v>
      </c>
      <c r="D17" t="s">
        <v>12</v>
      </c>
      <c r="E17" t="s">
        <v>18</v>
      </c>
      <c r="F17">
        <v>236</v>
      </c>
      <c r="G17">
        <v>16.02</v>
      </c>
      <c r="H17">
        <v>14.29</v>
      </c>
      <c r="I17">
        <f t="shared" si="0"/>
        <v>3780.72</v>
      </c>
      <c r="J17">
        <f t="shared" si="1"/>
        <v>408.2800000000002</v>
      </c>
      <c r="K17">
        <v>60</v>
      </c>
      <c r="M17" s="7" t="s">
        <v>34</v>
      </c>
      <c r="N17" s="8">
        <f>_xlfn.STDEV.S(G:G)</f>
        <v>86.660826607781644</v>
      </c>
    </row>
    <row r="18" spans="1:14" x14ac:dyDescent="0.25">
      <c r="A18">
        <v>19</v>
      </c>
      <c r="B18" t="s">
        <v>44</v>
      </c>
      <c r="C18" s="2">
        <v>44945</v>
      </c>
      <c r="D18" t="s">
        <v>45</v>
      </c>
      <c r="E18" t="s">
        <v>16</v>
      </c>
      <c r="F18">
        <v>121</v>
      </c>
      <c r="G18">
        <v>247.67</v>
      </c>
      <c r="H18">
        <v>129.91999999999999</v>
      </c>
      <c r="I18">
        <f t="shared" si="0"/>
        <v>29968.07</v>
      </c>
      <c r="J18">
        <f t="shared" si="1"/>
        <v>14247.750000000002</v>
      </c>
      <c r="K18">
        <v>65</v>
      </c>
    </row>
    <row r="19" spans="1:14" ht="21" x14ac:dyDescent="0.4">
      <c r="A19">
        <v>20</v>
      </c>
      <c r="B19" t="s">
        <v>46</v>
      </c>
      <c r="C19" s="2">
        <v>44946</v>
      </c>
      <c r="D19" t="s">
        <v>36</v>
      </c>
      <c r="E19" t="s">
        <v>18</v>
      </c>
      <c r="F19">
        <v>482</v>
      </c>
      <c r="G19">
        <v>111.26</v>
      </c>
      <c r="H19">
        <v>58.12</v>
      </c>
      <c r="I19">
        <f t="shared" si="0"/>
        <v>53627.32</v>
      </c>
      <c r="J19">
        <f t="shared" si="1"/>
        <v>25613.48</v>
      </c>
      <c r="K19">
        <v>28</v>
      </c>
      <c r="M19" s="15" t="s">
        <v>10</v>
      </c>
      <c r="N19" s="15"/>
    </row>
    <row r="20" spans="1:14" ht="21" x14ac:dyDescent="0.4">
      <c r="A20">
        <v>21</v>
      </c>
      <c r="B20" t="s">
        <v>47</v>
      </c>
      <c r="C20" s="2">
        <v>45018</v>
      </c>
      <c r="D20" t="s">
        <v>23</v>
      </c>
      <c r="E20" t="s">
        <v>18</v>
      </c>
      <c r="F20">
        <v>108</v>
      </c>
      <c r="G20">
        <v>42.48</v>
      </c>
      <c r="H20">
        <v>33.46</v>
      </c>
      <c r="I20">
        <f t="shared" si="0"/>
        <v>4587.8399999999992</v>
      </c>
      <c r="J20">
        <f t="shared" si="1"/>
        <v>974.15999999999894</v>
      </c>
      <c r="K20">
        <v>68</v>
      </c>
      <c r="M20" s="7" t="s">
        <v>24</v>
      </c>
      <c r="N20" s="8">
        <f>AVERAGE(K:K)</f>
        <v>43.5</v>
      </c>
    </row>
    <row r="21" spans="1:14" ht="21" x14ac:dyDescent="0.4">
      <c r="A21">
        <v>22</v>
      </c>
      <c r="B21" t="s">
        <v>48</v>
      </c>
      <c r="C21" s="2">
        <v>44948</v>
      </c>
      <c r="D21" t="s">
        <v>12</v>
      </c>
      <c r="E21" t="s">
        <v>13</v>
      </c>
      <c r="F21">
        <v>162</v>
      </c>
      <c r="G21">
        <v>159.06</v>
      </c>
      <c r="H21">
        <v>138.12</v>
      </c>
      <c r="I21">
        <f t="shared" si="0"/>
        <v>25767.72</v>
      </c>
      <c r="J21">
        <f t="shared" si="1"/>
        <v>3392.2799999999988</v>
      </c>
      <c r="K21">
        <v>64</v>
      </c>
      <c r="M21" s="9" t="s">
        <v>26</v>
      </c>
      <c r="N21" s="6">
        <f>MEDIAN(K:K)</f>
        <v>43</v>
      </c>
    </row>
    <row r="22" spans="1:14" ht="21" x14ac:dyDescent="0.4">
      <c r="A22">
        <v>23</v>
      </c>
      <c r="B22" t="s">
        <v>49</v>
      </c>
      <c r="C22" s="2">
        <v>44949</v>
      </c>
      <c r="D22" t="s">
        <v>36</v>
      </c>
      <c r="E22" t="s">
        <v>16</v>
      </c>
      <c r="F22">
        <v>358</v>
      </c>
      <c r="G22">
        <v>232.15</v>
      </c>
      <c r="H22">
        <v>206.99</v>
      </c>
      <c r="I22">
        <f t="shared" si="0"/>
        <v>83109.7</v>
      </c>
      <c r="J22">
        <f t="shared" si="1"/>
        <v>9007.2799999999988</v>
      </c>
      <c r="K22">
        <v>40</v>
      </c>
      <c r="M22" s="7" t="s">
        <v>28</v>
      </c>
      <c r="N22" s="8">
        <f>_xlfn.MODE.SNGL(K:K)</f>
        <v>64</v>
      </c>
    </row>
    <row r="23" spans="1:14" ht="21" x14ac:dyDescent="0.4">
      <c r="A23">
        <v>24</v>
      </c>
      <c r="B23" t="s">
        <v>50</v>
      </c>
      <c r="C23" s="2">
        <v>44950</v>
      </c>
      <c r="D23" t="s">
        <v>45</v>
      </c>
      <c r="E23" t="s">
        <v>33</v>
      </c>
      <c r="F23">
        <v>411</v>
      </c>
      <c r="G23">
        <v>68.67</v>
      </c>
      <c r="H23">
        <v>51.64</v>
      </c>
      <c r="I23">
        <f t="shared" si="0"/>
        <v>28223.37</v>
      </c>
      <c r="J23">
        <f t="shared" si="1"/>
        <v>6999.3299999999981</v>
      </c>
      <c r="K23">
        <v>33</v>
      </c>
      <c r="M23" s="9" t="s">
        <v>31</v>
      </c>
      <c r="N23" s="6">
        <f>MAX(K:K) - MIN(K:K)</f>
        <v>51</v>
      </c>
    </row>
    <row r="24" spans="1:14" ht="21" x14ac:dyDescent="0.4">
      <c r="A24">
        <v>25</v>
      </c>
      <c r="B24" t="s">
        <v>51</v>
      </c>
      <c r="C24" s="2">
        <v>44951</v>
      </c>
      <c r="D24" t="s">
        <v>45</v>
      </c>
      <c r="E24" t="s">
        <v>33</v>
      </c>
      <c r="F24">
        <v>393</v>
      </c>
      <c r="G24">
        <v>188.75</v>
      </c>
      <c r="H24">
        <v>99.24</v>
      </c>
      <c r="I24">
        <f t="shared" si="0"/>
        <v>74178.75</v>
      </c>
      <c r="J24">
        <f t="shared" si="1"/>
        <v>35177.43</v>
      </c>
      <c r="K24">
        <v>48</v>
      </c>
      <c r="M24" s="7" t="s">
        <v>34</v>
      </c>
      <c r="N24" s="8">
        <f>_xlfn.STDEV.S(K:K)</f>
        <v>15.386887849384316</v>
      </c>
    </row>
    <row r="25" spans="1:14" x14ac:dyDescent="0.25">
      <c r="A25">
        <v>26</v>
      </c>
      <c r="B25" t="s">
        <v>52</v>
      </c>
      <c r="C25" s="2">
        <v>44952</v>
      </c>
      <c r="D25" t="s">
        <v>15</v>
      </c>
      <c r="E25" t="s">
        <v>13</v>
      </c>
      <c r="F25">
        <v>375</v>
      </c>
      <c r="G25">
        <v>99.99</v>
      </c>
      <c r="H25">
        <v>10.57</v>
      </c>
      <c r="I25">
        <f t="shared" si="0"/>
        <v>37496.25</v>
      </c>
      <c r="J25">
        <f t="shared" si="1"/>
        <v>33532.5</v>
      </c>
      <c r="K25">
        <v>28</v>
      </c>
    </row>
    <row r="26" spans="1:14" x14ac:dyDescent="0.25">
      <c r="A26">
        <v>28</v>
      </c>
      <c r="B26" t="s">
        <v>53</v>
      </c>
      <c r="C26" s="2">
        <v>44954</v>
      </c>
      <c r="D26" t="s">
        <v>23</v>
      </c>
      <c r="E26" t="s">
        <v>16</v>
      </c>
      <c r="F26">
        <v>203</v>
      </c>
      <c r="G26">
        <v>161.75</v>
      </c>
      <c r="H26">
        <v>102.72</v>
      </c>
      <c r="I26">
        <f t="shared" si="0"/>
        <v>32835.25</v>
      </c>
      <c r="J26">
        <f t="shared" si="1"/>
        <v>11983.09</v>
      </c>
      <c r="K26">
        <v>25</v>
      </c>
    </row>
    <row r="27" spans="1:14" x14ac:dyDescent="0.25">
      <c r="A27">
        <v>29</v>
      </c>
      <c r="B27" t="s">
        <v>54</v>
      </c>
      <c r="C27" s="2">
        <v>44955</v>
      </c>
      <c r="D27" t="s">
        <v>36</v>
      </c>
      <c r="E27" t="s">
        <v>33</v>
      </c>
      <c r="F27">
        <v>319</v>
      </c>
      <c r="G27">
        <v>164.49</v>
      </c>
      <c r="H27">
        <v>91.22</v>
      </c>
      <c r="I27">
        <f t="shared" si="0"/>
        <v>52472.310000000005</v>
      </c>
      <c r="J27">
        <f t="shared" si="1"/>
        <v>23373.130000000005</v>
      </c>
      <c r="K27">
        <v>21</v>
      </c>
    </row>
    <row r="28" spans="1:14" x14ac:dyDescent="0.25">
      <c r="A28">
        <v>30</v>
      </c>
      <c r="B28" t="s">
        <v>55</v>
      </c>
      <c r="C28" s="2">
        <v>44956</v>
      </c>
      <c r="D28" t="s">
        <v>36</v>
      </c>
      <c r="E28" t="s">
        <v>33</v>
      </c>
      <c r="F28">
        <v>172</v>
      </c>
      <c r="G28">
        <v>193.04</v>
      </c>
      <c r="H28">
        <v>162.88999999999999</v>
      </c>
      <c r="I28">
        <f t="shared" si="0"/>
        <v>33202.879999999997</v>
      </c>
      <c r="J28">
        <f t="shared" si="1"/>
        <v>5185.7999999999993</v>
      </c>
      <c r="K28">
        <v>57</v>
      </c>
    </row>
    <row r="29" spans="1:14" x14ac:dyDescent="0.25">
      <c r="A29">
        <v>31</v>
      </c>
      <c r="B29" t="s">
        <v>56</v>
      </c>
      <c r="C29" s="2">
        <v>44957</v>
      </c>
      <c r="D29" t="s">
        <v>15</v>
      </c>
      <c r="E29" t="s">
        <v>33</v>
      </c>
      <c r="F29">
        <v>217</v>
      </c>
      <c r="G29">
        <v>219.2</v>
      </c>
      <c r="H29">
        <v>80.38</v>
      </c>
      <c r="I29">
        <f t="shared" si="0"/>
        <v>47566.399999999994</v>
      </c>
      <c r="J29">
        <f t="shared" si="1"/>
        <v>30123.939999999995</v>
      </c>
      <c r="K29">
        <v>21</v>
      </c>
    </row>
    <row r="30" spans="1:14" x14ac:dyDescent="0.25">
      <c r="A30">
        <v>32</v>
      </c>
      <c r="B30" t="s">
        <v>57</v>
      </c>
      <c r="C30" s="2">
        <v>44958</v>
      </c>
      <c r="D30" t="s">
        <v>36</v>
      </c>
      <c r="E30" t="s">
        <v>18</v>
      </c>
      <c r="F30">
        <v>454</v>
      </c>
      <c r="G30">
        <v>292.88</v>
      </c>
      <c r="H30">
        <v>174.43</v>
      </c>
      <c r="I30">
        <f t="shared" si="0"/>
        <v>132967.51999999999</v>
      </c>
      <c r="J30">
        <f t="shared" si="1"/>
        <v>53776.299999999988</v>
      </c>
      <c r="K30">
        <v>42</v>
      </c>
    </row>
    <row r="31" spans="1:14" x14ac:dyDescent="0.25">
      <c r="A31">
        <v>33</v>
      </c>
      <c r="B31" t="s">
        <v>58</v>
      </c>
      <c r="C31" s="2">
        <v>44959</v>
      </c>
      <c r="D31" t="s">
        <v>36</v>
      </c>
      <c r="E31" t="s">
        <v>33</v>
      </c>
      <c r="F31">
        <v>178</v>
      </c>
      <c r="G31">
        <v>157.31</v>
      </c>
      <c r="H31">
        <v>48.26</v>
      </c>
      <c r="I31">
        <f t="shared" si="0"/>
        <v>28001.18</v>
      </c>
      <c r="J31">
        <f t="shared" si="1"/>
        <v>19410.900000000001</v>
      </c>
      <c r="K31">
        <v>20</v>
      </c>
    </row>
    <row r="32" spans="1:14" x14ac:dyDescent="0.25">
      <c r="A32">
        <v>34</v>
      </c>
      <c r="B32" t="s">
        <v>59</v>
      </c>
      <c r="C32" s="2">
        <v>44960</v>
      </c>
      <c r="D32" t="s">
        <v>45</v>
      </c>
      <c r="E32" t="s">
        <v>18</v>
      </c>
      <c r="F32">
        <v>493</v>
      </c>
      <c r="G32">
        <v>100.27</v>
      </c>
      <c r="H32">
        <v>58.28</v>
      </c>
      <c r="I32">
        <f t="shared" si="0"/>
        <v>49433.11</v>
      </c>
      <c r="J32">
        <f t="shared" si="1"/>
        <v>20701.07</v>
      </c>
      <c r="K32">
        <v>49</v>
      </c>
    </row>
    <row r="33" spans="1:11" x14ac:dyDescent="0.25">
      <c r="A33">
        <v>35</v>
      </c>
      <c r="B33" t="s">
        <v>60</v>
      </c>
      <c r="C33" s="2">
        <v>44961</v>
      </c>
      <c r="D33" t="s">
        <v>15</v>
      </c>
      <c r="E33" t="s">
        <v>16</v>
      </c>
      <c r="F33">
        <v>170</v>
      </c>
      <c r="G33">
        <v>239.58</v>
      </c>
      <c r="H33">
        <v>79.97</v>
      </c>
      <c r="I33">
        <f t="shared" si="0"/>
        <v>40728.6</v>
      </c>
      <c r="J33">
        <f t="shared" si="1"/>
        <v>27133.699999999997</v>
      </c>
      <c r="K33">
        <v>20</v>
      </c>
    </row>
    <row r="34" spans="1:11" x14ac:dyDescent="0.25">
      <c r="A34">
        <v>36</v>
      </c>
      <c r="B34" t="s">
        <v>61</v>
      </c>
      <c r="C34" s="2">
        <v>44962</v>
      </c>
      <c r="D34" t="s">
        <v>12</v>
      </c>
      <c r="E34" t="s">
        <v>18</v>
      </c>
      <c r="F34">
        <v>77</v>
      </c>
      <c r="G34">
        <v>84.9</v>
      </c>
      <c r="H34">
        <v>31.52</v>
      </c>
      <c r="I34">
        <f t="shared" si="0"/>
        <v>6537.3</v>
      </c>
      <c r="J34">
        <f t="shared" si="1"/>
        <v>4110.26</v>
      </c>
      <c r="K34">
        <v>44</v>
      </c>
    </row>
    <row r="35" spans="1:11" x14ac:dyDescent="0.25">
      <c r="A35">
        <v>37</v>
      </c>
      <c r="B35" t="s">
        <v>62</v>
      </c>
      <c r="C35" s="2">
        <v>44963</v>
      </c>
      <c r="D35" t="s">
        <v>15</v>
      </c>
      <c r="E35" t="s">
        <v>16</v>
      </c>
      <c r="F35">
        <v>298</v>
      </c>
      <c r="G35">
        <v>134.5</v>
      </c>
      <c r="H35">
        <v>49.83</v>
      </c>
      <c r="I35">
        <f t="shared" si="0"/>
        <v>40081</v>
      </c>
      <c r="J35">
        <f t="shared" si="1"/>
        <v>25231.66</v>
      </c>
      <c r="K35">
        <v>46</v>
      </c>
    </row>
    <row r="36" spans="1:11" x14ac:dyDescent="0.25">
      <c r="A36">
        <v>38</v>
      </c>
      <c r="B36" t="s">
        <v>63</v>
      </c>
      <c r="C36" s="2">
        <v>44964</v>
      </c>
      <c r="D36" t="s">
        <v>12</v>
      </c>
      <c r="E36" t="s">
        <v>33</v>
      </c>
      <c r="F36">
        <v>407</v>
      </c>
      <c r="G36">
        <v>28.14</v>
      </c>
      <c r="H36">
        <v>19.399999999999999</v>
      </c>
      <c r="I36">
        <f t="shared" si="0"/>
        <v>11452.98</v>
      </c>
      <c r="J36">
        <f t="shared" si="1"/>
        <v>3557.1800000000003</v>
      </c>
      <c r="K36">
        <v>49</v>
      </c>
    </row>
    <row r="37" spans="1:11" x14ac:dyDescent="0.25">
      <c r="A37">
        <v>39</v>
      </c>
      <c r="B37" t="s">
        <v>64</v>
      </c>
      <c r="C37" s="2">
        <v>44965</v>
      </c>
      <c r="D37" t="s">
        <v>45</v>
      </c>
      <c r="E37" t="s">
        <v>33</v>
      </c>
      <c r="F37">
        <v>286</v>
      </c>
      <c r="G37">
        <v>12.48</v>
      </c>
      <c r="H37">
        <v>9.33</v>
      </c>
      <c r="I37">
        <f t="shared" si="0"/>
        <v>3569.28</v>
      </c>
      <c r="J37">
        <f t="shared" si="1"/>
        <v>900.90000000000009</v>
      </c>
      <c r="K37">
        <v>67</v>
      </c>
    </row>
    <row r="38" spans="1:11" x14ac:dyDescent="0.25">
      <c r="A38">
        <v>40</v>
      </c>
      <c r="B38" t="s">
        <v>65</v>
      </c>
      <c r="C38" s="2">
        <v>44966</v>
      </c>
      <c r="D38" t="s">
        <v>23</v>
      </c>
      <c r="E38" t="s">
        <v>16</v>
      </c>
      <c r="F38">
        <v>313</v>
      </c>
      <c r="G38">
        <v>288.98</v>
      </c>
      <c r="H38">
        <v>187.84</v>
      </c>
      <c r="I38">
        <f t="shared" si="0"/>
        <v>90450.74</v>
      </c>
      <c r="J38">
        <f t="shared" si="1"/>
        <v>31656.820000000007</v>
      </c>
      <c r="K38">
        <v>68</v>
      </c>
    </row>
    <row r="39" spans="1:11" x14ac:dyDescent="0.25">
      <c r="A39">
        <v>41</v>
      </c>
      <c r="B39" t="s">
        <v>66</v>
      </c>
      <c r="C39" s="2">
        <v>44967</v>
      </c>
      <c r="D39" t="s">
        <v>36</v>
      </c>
      <c r="E39" t="s">
        <v>13</v>
      </c>
      <c r="F39">
        <v>413</v>
      </c>
      <c r="G39">
        <v>251.61</v>
      </c>
      <c r="H39">
        <v>220.74</v>
      </c>
      <c r="I39">
        <f t="shared" si="0"/>
        <v>103914.93000000001</v>
      </c>
      <c r="J39">
        <f t="shared" si="1"/>
        <v>12749.309999999998</v>
      </c>
      <c r="K39">
        <v>36</v>
      </c>
    </row>
    <row r="40" spans="1:11" x14ac:dyDescent="0.25">
      <c r="A40">
        <v>42</v>
      </c>
      <c r="B40" t="s">
        <v>67</v>
      </c>
      <c r="C40" s="2">
        <v>44968</v>
      </c>
      <c r="D40" t="s">
        <v>45</v>
      </c>
      <c r="E40" t="s">
        <v>16</v>
      </c>
      <c r="F40">
        <v>393</v>
      </c>
      <c r="G40">
        <v>210.31</v>
      </c>
      <c r="H40">
        <v>110.4</v>
      </c>
      <c r="I40">
        <f t="shared" si="0"/>
        <v>82651.83</v>
      </c>
      <c r="J40">
        <f t="shared" si="1"/>
        <v>39264.629999999997</v>
      </c>
      <c r="K40">
        <v>38</v>
      </c>
    </row>
    <row r="41" spans="1:11" x14ac:dyDescent="0.25">
      <c r="A41">
        <v>43</v>
      </c>
      <c r="B41" t="s">
        <v>68</v>
      </c>
      <c r="C41" s="2">
        <v>44969</v>
      </c>
      <c r="D41" t="s">
        <v>36</v>
      </c>
      <c r="E41" t="s">
        <v>13</v>
      </c>
      <c r="F41">
        <v>401</v>
      </c>
      <c r="G41">
        <v>125.64</v>
      </c>
      <c r="H41">
        <v>59.23</v>
      </c>
      <c r="I41">
        <f t="shared" si="0"/>
        <v>50381.64</v>
      </c>
      <c r="J41">
        <f t="shared" si="1"/>
        <v>26630.41</v>
      </c>
      <c r="K41">
        <v>22</v>
      </c>
    </row>
    <row r="42" spans="1:11" x14ac:dyDescent="0.25">
      <c r="A42">
        <v>44</v>
      </c>
      <c r="B42" t="s">
        <v>69</v>
      </c>
      <c r="C42" s="2">
        <v>44970</v>
      </c>
      <c r="D42" t="s">
        <v>23</v>
      </c>
      <c r="E42" t="s">
        <v>18</v>
      </c>
      <c r="F42">
        <v>144</v>
      </c>
      <c r="G42">
        <v>56.12</v>
      </c>
      <c r="H42">
        <v>46.08</v>
      </c>
      <c r="I42">
        <f t="shared" si="0"/>
        <v>8081.28</v>
      </c>
      <c r="J42">
        <f t="shared" si="1"/>
        <v>1445.7600000000002</v>
      </c>
      <c r="K42">
        <v>35</v>
      </c>
    </row>
    <row r="43" spans="1:11" x14ac:dyDescent="0.25">
      <c r="A43">
        <v>45</v>
      </c>
      <c r="B43" t="s">
        <v>70</v>
      </c>
      <c r="C43" s="2">
        <v>44971</v>
      </c>
      <c r="D43" t="s">
        <v>23</v>
      </c>
      <c r="E43" t="s">
        <v>18</v>
      </c>
      <c r="F43">
        <v>204</v>
      </c>
      <c r="G43">
        <v>51.15</v>
      </c>
      <c r="H43">
        <v>22.21</v>
      </c>
      <c r="I43">
        <f t="shared" si="0"/>
        <v>10434.6</v>
      </c>
      <c r="J43">
        <f t="shared" si="1"/>
        <v>5903.76</v>
      </c>
      <c r="K43">
        <v>45</v>
      </c>
    </row>
    <row r="44" spans="1:11" x14ac:dyDescent="0.25">
      <c r="A44">
        <v>46</v>
      </c>
      <c r="B44" t="s">
        <v>71</v>
      </c>
      <c r="C44" s="2">
        <v>44972</v>
      </c>
      <c r="D44" t="s">
        <v>45</v>
      </c>
      <c r="E44" t="s">
        <v>18</v>
      </c>
      <c r="F44">
        <v>410</v>
      </c>
      <c r="G44">
        <v>78.819999999999993</v>
      </c>
      <c r="H44">
        <v>69.2</v>
      </c>
      <c r="I44">
        <f t="shared" si="0"/>
        <v>32316.199999999997</v>
      </c>
      <c r="J44">
        <f t="shared" si="1"/>
        <v>3944.1999999999971</v>
      </c>
      <c r="K44">
        <v>59</v>
      </c>
    </row>
    <row r="45" spans="1:11" x14ac:dyDescent="0.25">
      <c r="A45">
        <v>47</v>
      </c>
      <c r="B45" t="s">
        <v>72</v>
      </c>
      <c r="C45" s="2">
        <v>44973</v>
      </c>
      <c r="D45" t="s">
        <v>23</v>
      </c>
      <c r="E45" t="s">
        <v>33</v>
      </c>
      <c r="F45">
        <v>137</v>
      </c>
      <c r="G45">
        <v>167.02</v>
      </c>
      <c r="H45">
        <v>51.32</v>
      </c>
      <c r="I45">
        <f t="shared" si="0"/>
        <v>22881.74</v>
      </c>
      <c r="J45">
        <f t="shared" si="1"/>
        <v>15850.900000000001</v>
      </c>
      <c r="K45">
        <v>39</v>
      </c>
    </row>
    <row r="46" spans="1:11" x14ac:dyDescent="0.25">
      <c r="A46">
        <v>49</v>
      </c>
      <c r="B46" t="s">
        <v>73</v>
      </c>
      <c r="C46" s="2">
        <v>44975</v>
      </c>
      <c r="D46" t="s">
        <v>23</v>
      </c>
      <c r="E46" t="s">
        <v>13</v>
      </c>
      <c r="F46">
        <v>185</v>
      </c>
      <c r="G46">
        <v>199.76</v>
      </c>
      <c r="H46">
        <v>65.099999999999994</v>
      </c>
      <c r="I46">
        <f t="shared" si="0"/>
        <v>36955.599999999999</v>
      </c>
      <c r="J46">
        <f t="shared" si="1"/>
        <v>24912.1</v>
      </c>
      <c r="K46">
        <v>23</v>
      </c>
    </row>
    <row r="47" spans="1:11" x14ac:dyDescent="0.25">
      <c r="A47">
        <v>50</v>
      </c>
      <c r="B47" t="s">
        <v>74</v>
      </c>
      <c r="C47" s="2">
        <v>44976</v>
      </c>
      <c r="D47" t="s">
        <v>36</v>
      </c>
      <c r="E47" t="s">
        <v>18</v>
      </c>
      <c r="F47">
        <v>469</v>
      </c>
      <c r="G47">
        <v>87.58</v>
      </c>
      <c r="H47">
        <v>73.099999999999994</v>
      </c>
      <c r="I47">
        <f t="shared" si="0"/>
        <v>41075.019999999997</v>
      </c>
      <c r="J47">
        <f t="shared" si="1"/>
        <v>6791.1200000000026</v>
      </c>
      <c r="K47">
        <v>18</v>
      </c>
    </row>
    <row r="48" spans="1:11" x14ac:dyDescent="0.25">
      <c r="A48">
        <v>51</v>
      </c>
      <c r="B48" t="s">
        <v>75</v>
      </c>
      <c r="C48" s="2">
        <v>44977</v>
      </c>
      <c r="D48" t="s">
        <v>36</v>
      </c>
      <c r="E48" t="s">
        <v>16</v>
      </c>
      <c r="F48">
        <v>452</v>
      </c>
      <c r="G48">
        <v>286.69</v>
      </c>
      <c r="H48">
        <v>176.78</v>
      </c>
      <c r="I48">
        <f t="shared" si="0"/>
        <v>129583.88</v>
      </c>
      <c r="J48">
        <f t="shared" si="1"/>
        <v>49679.320000000007</v>
      </c>
      <c r="K48">
        <v>22</v>
      </c>
    </row>
    <row r="49" spans="1:11" x14ac:dyDescent="0.25">
      <c r="A49">
        <v>53</v>
      </c>
      <c r="B49" t="s">
        <v>76</v>
      </c>
      <c r="C49" s="2">
        <v>44979</v>
      </c>
      <c r="D49" t="s">
        <v>36</v>
      </c>
      <c r="E49" t="s">
        <v>33</v>
      </c>
      <c r="F49">
        <v>479</v>
      </c>
      <c r="G49">
        <v>168.53</v>
      </c>
      <c r="H49">
        <v>58.02</v>
      </c>
      <c r="I49">
        <f t="shared" si="0"/>
        <v>80725.87</v>
      </c>
      <c r="J49">
        <f t="shared" si="1"/>
        <v>52934.289999999994</v>
      </c>
      <c r="K49">
        <v>29</v>
      </c>
    </row>
    <row r="50" spans="1:11" x14ac:dyDescent="0.25">
      <c r="A50">
        <v>54</v>
      </c>
      <c r="B50" t="s">
        <v>77</v>
      </c>
      <c r="C50" s="2">
        <v>44980</v>
      </c>
      <c r="D50" t="s">
        <v>12</v>
      </c>
      <c r="E50" t="s">
        <v>16</v>
      </c>
      <c r="F50">
        <v>384</v>
      </c>
      <c r="G50">
        <v>185.46</v>
      </c>
      <c r="H50">
        <v>117.27</v>
      </c>
      <c r="I50">
        <f t="shared" si="0"/>
        <v>71216.639999999999</v>
      </c>
      <c r="J50">
        <f t="shared" si="1"/>
        <v>26184.959999999999</v>
      </c>
      <c r="K50">
        <v>43</v>
      </c>
    </row>
    <row r="51" spans="1:11" x14ac:dyDescent="0.25">
      <c r="A51">
        <v>55</v>
      </c>
      <c r="B51" t="s">
        <v>78</v>
      </c>
      <c r="C51" s="2">
        <v>44981</v>
      </c>
      <c r="D51" t="s">
        <v>15</v>
      </c>
      <c r="E51" t="s">
        <v>13</v>
      </c>
      <c r="F51">
        <v>31</v>
      </c>
      <c r="G51">
        <v>128.78</v>
      </c>
      <c r="H51">
        <v>113.53</v>
      </c>
      <c r="I51">
        <f t="shared" si="0"/>
        <v>3992.18</v>
      </c>
      <c r="J51">
        <f t="shared" si="1"/>
        <v>472.75</v>
      </c>
      <c r="K51">
        <v>63</v>
      </c>
    </row>
    <row r="52" spans="1:11" x14ac:dyDescent="0.25">
      <c r="A52">
        <v>56</v>
      </c>
      <c r="B52" t="s">
        <v>79</v>
      </c>
      <c r="C52" s="2">
        <v>44982</v>
      </c>
      <c r="D52" t="s">
        <v>45</v>
      </c>
      <c r="E52" t="s">
        <v>18</v>
      </c>
      <c r="F52">
        <v>247</v>
      </c>
      <c r="G52">
        <v>78.08</v>
      </c>
      <c r="H52">
        <v>47.93</v>
      </c>
      <c r="I52">
        <f t="shared" si="0"/>
        <v>19285.759999999998</v>
      </c>
      <c r="J52">
        <f t="shared" si="1"/>
        <v>7447.0499999999993</v>
      </c>
      <c r="K52">
        <v>51</v>
      </c>
    </row>
    <row r="53" spans="1:11" x14ac:dyDescent="0.25">
      <c r="A53">
        <v>57</v>
      </c>
      <c r="B53" t="s">
        <v>80</v>
      </c>
      <c r="C53" s="2">
        <v>44983</v>
      </c>
      <c r="D53" t="s">
        <v>36</v>
      </c>
      <c r="E53" t="s">
        <v>33</v>
      </c>
      <c r="F53">
        <v>167</v>
      </c>
      <c r="G53">
        <v>110.01</v>
      </c>
      <c r="H53">
        <v>74.55</v>
      </c>
      <c r="I53">
        <f t="shared" si="0"/>
        <v>18371.670000000002</v>
      </c>
      <c r="J53">
        <f t="shared" si="1"/>
        <v>5921.8200000000015</v>
      </c>
      <c r="K53">
        <v>66</v>
      </c>
    </row>
    <row r="54" spans="1:11" x14ac:dyDescent="0.25">
      <c r="A54">
        <v>58</v>
      </c>
      <c r="B54" t="s">
        <v>81</v>
      </c>
      <c r="C54" s="2">
        <v>44984</v>
      </c>
      <c r="D54" t="s">
        <v>23</v>
      </c>
      <c r="E54" t="s">
        <v>18</v>
      </c>
      <c r="F54">
        <v>47</v>
      </c>
      <c r="G54">
        <v>228.56</v>
      </c>
      <c r="H54">
        <v>163.98</v>
      </c>
      <c r="I54">
        <f t="shared" si="0"/>
        <v>10742.32</v>
      </c>
      <c r="J54">
        <f t="shared" si="1"/>
        <v>3035.26</v>
      </c>
      <c r="K54">
        <v>31</v>
      </c>
    </row>
    <row r="55" spans="1:11" x14ac:dyDescent="0.25">
      <c r="A55">
        <v>60</v>
      </c>
      <c r="B55" t="s">
        <v>82</v>
      </c>
      <c r="C55" s="2">
        <v>44986</v>
      </c>
      <c r="D55" t="s">
        <v>23</v>
      </c>
      <c r="E55" t="s">
        <v>13</v>
      </c>
      <c r="F55">
        <v>374</v>
      </c>
      <c r="G55">
        <v>39.24</v>
      </c>
      <c r="H55">
        <v>26.55</v>
      </c>
      <c r="I55">
        <f t="shared" si="0"/>
        <v>14675.76</v>
      </c>
      <c r="J55">
        <f t="shared" si="1"/>
        <v>4746.0599999999995</v>
      </c>
      <c r="K55">
        <v>62</v>
      </c>
    </row>
    <row r="56" spans="1:11" x14ac:dyDescent="0.25">
      <c r="A56">
        <v>61</v>
      </c>
      <c r="B56" t="s">
        <v>83</v>
      </c>
      <c r="C56" s="2">
        <v>44987</v>
      </c>
      <c r="D56" t="s">
        <v>23</v>
      </c>
      <c r="E56" t="s">
        <v>16</v>
      </c>
      <c r="F56">
        <v>60</v>
      </c>
      <c r="G56">
        <v>18.57</v>
      </c>
      <c r="H56">
        <v>12.08</v>
      </c>
      <c r="I56">
        <f t="shared" si="0"/>
        <v>1114.2</v>
      </c>
      <c r="J56">
        <f t="shared" si="1"/>
        <v>389.40000000000009</v>
      </c>
      <c r="K56">
        <v>44</v>
      </c>
    </row>
    <row r="57" spans="1:11" x14ac:dyDescent="0.25">
      <c r="A57">
        <v>62</v>
      </c>
      <c r="B57" t="s">
        <v>84</v>
      </c>
      <c r="C57" s="2">
        <v>44988</v>
      </c>
      <c r="D57" t="s">
        <v>36</v>
      </c>
      <c r="E57" t="s">
        <v>16</v>
      </c>
      <c r="F57">
        <v>447</v>
      </c>
      <c r="G57">
        <v>17.010000000000002</v>
      </c>
      <c r="H57">
        <v>14.3</v>
      </c>
      <c r="I57">
        <f t="shared" si="0"/>
        <v>7603.47</v>
      </c>
      <c r="J57">
        <f t="shared" si="1"/>
        <v>1211.3699999999999</v>
      </c>
      <c r="K57">
        <v>26</v>
      </c>
    </row>
    <row r="58" spans="1:11" x14ac:dyDescent="0.25">
      <c r="A58">
        <v>63</v>
      </c>
      <c r="B58" t="s">
        <v>85</v>
      </c>
      <c r="C58" s="2">
        <v>44989</v>
      </c>
      <c r="D58" t="s">
        <v>12</v>
      </c>
      <c r="E58" t="s">
        <v>18</v>
      </c>
      <c r="F58">
        <v>273</v>
      </c>
      <c r="G58">
        <v>257.36</v>
      </c>
      <c r="H58">
        <v>84.23</v>
      </c>
      <c r="I58">
        <f t="shared" si="0"/>
        <v>70259.28</v>
      </c>
      <c r="J58">
        <f t="shared" si="1"/>
        <v>47264.49</v>
      </c>
      <c r="K58">
        <v>43</v>
      </c>
    </row>
    <row r="59" spans="1:11" x14ac:dyDescent="0.25">
      <c r="A59">
        <v>65</v>
      </c>
      <c r="B59" t="s">
        <v>86</v>
      </c>
      <c r="C59" s="2">
        <v>44991</v>
      </c>
      <c r="D59" t="s">
        <v>23</v>
      </c>
      <c r="E59" t="s">
        <v>16</v>
      </c>
      <c r="F59">
        <v>36</v>
      </c>
      <c r="G59">
        <v>144.88</v>
      </c>
      <c r="H59">
        <v>126.08</v>
      </c>
      <c r="I59">
        <f t="shared" si="0"/>
        <v>5215.68</v>
      </c>
      <c r="J59">
        <f t="shared" si="1"/>
        <v>676.80000000000018</v>
      </c>
      <c r="K59">
        <v>39</v>
      </c>
    </row>
    <row r="60" spans="1:11" x14ac:dyDescent="0.25">
      <c r="A60">
        <v>66</v>
      </c>
      <c r="B60" t="s">
        <v>87</v>
      </c>
      <c r="C60" s="2">
        <v>44992</v>
      </c>
      <c r="D60" t="s">
        <v>36</v>
      </c>
      <c r="E60" t="s">
        <v>33</v>
      </c>
      <c r="F60">
        <v>235</v>
      </c>
      <c r="G60">
        <v>33.86</v>
      </c>
      <c r="H60">
        <v>28.24</v>
      </c>
      <c r="I60">
        <f t="shared" si="0"/>
        <v>7957.0999999999995</v>
      </c>
      <c r="J60">
        <f t="shared" si="1"/>
        <v>1320.6999999999998</v>
      </c>
      <c r="K60">
        <v>64</v>
      </c>
    </row>
    <row r="61" spans="1:11" x14ac:dyDescent="0.25">
      <c r="A61">
        <v>67</v>
      </c>
      <c r="B61" t="s">
        <v>88</v>
      </c>
      <c r="C61" s="2">
        <v>44993</v>
      </c>
      <c r="D61" t="s">
        <v>23</v>
      </c>
      <c r="E61" t="s">
        <v>16</v>
      </c>
      <c r="F61">
        <v>286</v>
      </c>
      <c r="G61">
        <v>150.03</v>
      </c>
      <c r="H61">
        <v>86.03</v>
      </c>
      <c r="I61">
        <f t="shared" si="0"/>
        <v>42908.58</v>
      </c>
      <c r="J61">
        <f t="shared" si="1"/>
        <v>18304</v>
      </c>
      <c r="K61">
        <v>47</v>
      </c>
    </row>
    <row r="62" spans="1:11" x14ac:dyDescent="0.25">
      <c r="A62">
        <v>68</v>
      </c>
      <c r="B62" t="s">
        <v>89</v>
      </c>
      <c r="C62" s="2">
        <v>44994</v>
      </c>
      <c r="D62" t="s">
        <v>23</v>
      </c>
      <c r="E62" t="s">
        <v>33</v>
      </c>
      <c r="F62">
        <v>295</v>
      </c>
      <c r="G62">
        <v>144.66999999999999</v>
      </c>
      <c r="H62">
        <v>97.23</v>
      </c>
      <c r="I62">
        <f t="shared" si="0"/>
        <v>42677.649999999994</v>
      </c>
      <c r="J62">
        <f t="shared" si="1"/>
        <v>13994.799999999992</v>
      </c>
      <c r="K62">
        <v>60</v>
      </c>
    </row>
    <row r="63" spans="1:11" x14ac:dyDescent="0.25">
      <c r="A63">
        <v>69</v>
      </c>
      <c r="B63" t="s">
        <v>90</v>
      </c>
      <c r="C63" s="2">
        <v>44995</v>
      </c>
      <c r="D63" t="s">
        <v>36</v>
      </c>
      <c r="E63" t="s">
        <v>13</v>
      </c>
      <c r="F63">
        <v>106</v>
      </c>
      <c r="G63">
        <v>56.09</v>
      </c>
      <c r="H63">
        <v>26.16</v>
      </c>
      <c r="I63">
        <f t="shared" si="0"/>
        <v>5945.54</v>
      </c>
      <c r="J63">
        <f t="shared" si="1"/>
        <v>3172.58</v>
      </c>
      <c r="K63">
        <v>65</v>
      </c>
    </row>
    <row r="64" spans="1:11" x14ac:dyDescent="0.25">
      <c r="A64">
        <v>70</v>
      </c>
      <c r="B64" t="s">
        <v>91</v>
      </c>
      <c r="C64" s="2">
        <v>44996</v>
      </c>
      <c r="D64" t="s">
        <v>36</v>
      </c>
      <c r="E64" t="s">
        <v>33</v>
      </c>
      <c r="F64">
        <v>293</v>
      </c>
      <c r="G64">
        <v>132.99</v>
      </c>
      <c r="H64">
        <v>54.91</v>
      </c>
      <c r="I64">
        <f t="shared" si="0"/>
        <v>38966.07</v>
      </c>
      <c r="J64">
        <f t="shared" si="1"/>
        <v>22877.440000000002</v>
      </c>
      <c r="K64">
        <v>34</v>
      </c>
    </row>
    <row r="65" spans="1:11" x14ac:dyDescent="0.25">
      <c r="A65">
        <v>71</v>
      </c>
      <c r="B65" t="s">
        <v>92</v>
      </c>
      <c r="C65" s="2">
        <v>44997</v>
      </c>
      <c r="D65" t="s">
        <v>45</v>
      </c>
      <c r="E65" t="s">
        <v>13</v>
      </c>
      <c r="F65">
        <v>376</v>
      </c>
      <c r="G65">
        <v>122.56</v>
      </c>
      <c r="H65">
        <v>70.87</v>
      </c>
      <c r="I65">
        <f t="shared" si="0"/>
        <v>46082.559999999998</v>
      </c>
      <c r="J65">
        <f t="shared" si="1"/>
        <v>19435.439999999995</v>
      </c>
      <c r="K65">
        <v>43</v>
      </c>
    </row>
    <row r="66" spans="1:11" x14ac:dyDescent="0.25">
      <c r="A66">
        <v>72</v>
      </c>
      <c r="B66" t="s">
        <v>93</v>
      </c>
      <c r="C66" s="2">
        <v>44998</v>
      </c>
      <c r="D66" t="s">
        <v>12</v>
      </c>
      <c r="E66" t="s">
        <v>13</v>
      </c>
      <c r="F66">
        <v>457</v>
      </c>
      <c r="G66">
        <v>186.68</v>
      </c>
      <c r="H66">
        <v>95.58</v>
      </c>
      <c r="I66">
        <f t="shared" si="0"/>
        <v>85312.760000000009</v>
      </c>
      <c r="J66">
        <f t="shared" si="1"/>
        <v>41632.700000000012</v>
      </c>
      <c r="K66">
        <v>53</v>
      </c>
    </row>
    <row r="67" spans="1:11" x14ac:dyDescent="0.25">
      <c r="A67">
        <v>73</v>
      </c>
      <c r="B67" t="s">
        <v>94</v>
      </c>
      <c r="C67" s="2">
        <v>44999</v>
      </c>
      <c r="D67" t="s">
        <v>12</v>
      </c>
      <c r="E67" t="s">
        <v>33</v>
      </c>
      <c r="F67">
        <v>490</v>
      </c>
      <c r="G67">
        <v>192.35</v>
      </c>
      <c r="H67">
        <v>125.06</v>
      </c>
      <c r="I67">
        <f t="shared" ref="I67:I130" si="2">F67*G67</f>
        <v>94251.5</v>
      </c>
      <c r="J67">
        <f t="shared" ref="J67:J130" si="3" xml:space="preserve"> I67 - (F67 * H67)</f>
        <v>32972.1</v>
      </c>
      <c r="K67">
        <v>18</v>
      </c>
    </row>
    <row r="68" spans="1:11" x14ac:dyDescent="0.25">
      <c r="A68">
        <v>74</v>
      </c>
      <c r="B68" t="s">
        <v>95</v>
      </c>
      <c r="C68" s="2">
        <v>45000</v>
      </c>
      <c r="D68" t="s">
        <v>23</v>
      </c>
      <c r="E68" t="s">
        <v>13</v>
      </c>
      <c r="F68">
        <v>462</v>
      </c>
      <c r="G68">
        <v>18.36</v>
      </c>
      <c r="H68">
        <v>6.36</v>
      </c>
      <c r="I68">
        <f t="shared" si="2"/>
        <v>8482.32</v>
      </c>
      <c r="J68">
        <f t="shared" si="3"/>
        <v>5544</v>
      </c>
      <c r="K68">
        <v>25</v>
      </c>
    </row>
    <row r="69" spans="1:11" x14ac:dyDescent="0.25">
      <c r="A69">
        <v>76</v>
      </c>
      <c r="B69" t="s">
        <v>96</v>
      </c>
      <c r="C69" s="2">
        <v>45002</v>
      </c>
      <c r="D69" t="s">
        <v>23</v>
      </c>
      <c r="E69" t="s">
        <v>13</v>
      </c>
      <c r="F69">
        <v>313</v>
      </c>
      <c r="G69">
        <v>189.63</v>
      </c>
      <c r="H69">
        <v>169.1</v>
      </c>
      <c r="I69">
        <f t="shared" si="2"/>
        <v>59354.189999999995</v>
      </c>
      <c r="J69">
        <f t="shared" si="3"/>
        <v>6425.8899999999994</v>
      </c>
      <c r="K69">
        <v>52</v>
      </c>
    </row>
    <row r="70" spans="1:11" x14ac:dyDescent="0.25">
      <c r="A70">
        <v>77</v>
      </c>
      <c r="B70" t="s">
        <v>97</v>
      </c>
      <c r="C70" s="2">
        <v>45003</v>
      </c>
      <c r="D70" t="s">
        <v>45</v>
      </c>
      <c r="E70" t="s">
        <v>16</v>
      </c>
      <c r="F70">
        <v>156</v>
      </c>
      <c r="G70">
        <v>153.43</v>
      </c>
      <c r="H70">
        <v>110.3</v>
      </c>
      <c r="I70">
        <f t="shared" si="2"/>
        <v>23935.08</v>
      </c>
      <c r="J70">
        <f t="shared" si="3"/>
        <v>6728.2800000000025</v>
      </c>
      <c r="K70">
        <v>69</v>
      </c>
    </row>
    <row r="71" spans="1:11" x14ac:dyDescent="0.25">
      <c r="A71">
        <v>78</v>
      </c>
      <c r="B71" t="s">
        <v>98</v>
      </c>
      <c r="C71" s="2">
        <v>45004</v>
      </c>
      <c r="D71" t="s">
        <v>36</v>
      </c>
      <c r="E71" t="s">
        <v>33</v>
      </c>
      <c r="F71">
        <v>13</v>
      </c>
      <c r="G71">
        <v>257.66000000000003</v>
      </c>
      <c r="H71">
        <v>160.18</v>
      </c>
      <c r="I71">
        <f t="shared" si="2"/>
        <v>3349.5800000000004</v>
      </c>
      <c r="J71">
        <f t="shared" si="3"/>
        <v>1267.2400000000002</v>
      </c>
      <c r="K71">
        <v>32</v>
      </c>
    </row>
    <row r="72" spans="1:11" x14ac:dyDescent="0.25">
      <c r="A72">
        <v>79</v>
      </c>
      <c r="B72" t="s">
        <v>99</v>
      </c>
      <c r="C72" s="2">
        <v>45005</v>
      </c>
      <c r="D72" t="s">
        <v>36</v>
      </c>
      <c r="E72" t="s">
        <v>18</v>
      </c>
      <c r="F72">
        <v>44</v>
      </c>
      <c r="G72">
        <v>199.31</v>
      </c>
      <c r="H72">
        <v>96.81</v>
      </c>
      <c r="I72">
        <f t="shared" si="2"/>
        <v>8769.64</v>
      </c>
      <c r="J72">
        <f t="shared" si="3"/>
        <v>4509.9999999999991</v>
      </c>
      <c r="K72">
        <v>64</v>
      </c>
    </row>
    <row r="73" spans="1:11" x14ac:dyDescent="0.25">
      <c r="A73">
        <v>80</v>
      </c>
      <c r="B73" t="s">
        <v>100</v>
      </c>
      <c r="C73" s="2">
        <v>45006</v>
      </c>
      <c r="D73" t="s">
        <v>36</v>
      </c>
      <c r="E73" t="s">
        <v>33</v>
      </c>
      <c r="F73">
        <v>201</v>
      </c>
      <c r="G73">
        <v>53.07</v>
      </c>
      <c r="H73">
        <v>41.83</v>
      </c>
      <c r="I73">
        <f t="shared" si="2"/>
        <v>10667.07</v>
      </c>
      <c r="J73">
        <f t="shared" si="3"/>
        <v>2259.2399999999998</v>
      </c>
      <c r="K73">
        <v>39</v>
      </c>
    </row>
    <row r="74" spans="1:11" x14ac:dyDescent="0.25">
      <c r="A74">
        <v>81</v>
      </c>
      <c r="B74" t="s">
        <v>101</v>
      </c>
      <c r="C74" s="2">
        <v>45007</v>
      </c>
      <c r="D74" t="s">
        <v>12</v>
      </c>
      <c r="E74" t="s">
        <v>16</v>
      </c>
      <c r="F74">
        <v>58</v>
      </c>
      <c r="G74">
        <v>25.82</v>
      </c>
      <c r="H74">
        <v>18.350000000000001</v>
      </c>
      <c r="I74">
        <f t="shared" si="2"/>
        <v>1497.56</v>
      </c>
      <c r="J74">
        <f t="shared" si="3"/>
        <v>433.25999999999976</v>
      </c>
      <c r="K74">
        <v>31</v>
      </c>
    </row>
    <row r="75" spans="1:11" x14ac:dyDescent="0.25">
      <c r="A75">
        <v>82</v>
      </c>
      <c r="B75" t="s">
        <v>102</v>
      </c>
      <c r="C75" s="2">
        <v>45008</v>
      </c>
      <c r="D75" t="s">
        <v>45</v>
      </c>
      <c r="E75" t="s">
        <v>16</v>
      </c>
      <c r="F75">
        <v>26</v>
      </c>
      <c r="G75">
        <v>194.51</v>
      </c>
      <c r="H75">
        <v>77.33</v>
      </c>
      <c r="I75">
        <f t="shared" si="2"/>
        <v>5057.26</v>
      </c>
      <c r="J75">
        <f t="shared" si="3"/>
        <v>3046.6800000000003</v>
      </c>
      <c r="K75">
        <v>43</v>
      </c>
    </row>
    <row r="76" spans="1:11" x14ac:dyDescent="0.25">
      <c r="A76">
        <v>83</v>
      </c>
      <c r="B76" t="s">
        <v>103</v>
      </c>
      <c r="C76" s="2">
        <v>45009</v>
      </c>
      <c r="D76" t="s">
        <v>12</v>
      </c>
      <c r="E76" t="s">
        <v>16</v>
      </c>
      <c r="F76">
        <v>181</v>
      </c>
      <c r="G76">
        <v>12.82</v>
      </c>
      <c r="H76">
        <v>10.85</v>
      </c>
      <c r="I76">
        <f t="shared" si="2"/>
        <v>2320.42</v>
      </c>
      <c r="J76">
        <f t="shared" si="3"/>
        <v>356.57000000000016</v>
      </c>
      <c r="K76">
        <v>45</v>
      </c>
    </row>
    <row r="77" spans="1:11" x14ac:dyDescent="0.25">
      <c r="A77">
        <v>84</v>
      </c>
      <c r="B77" t="s">
        <v>104</v>
      </c>
      <c r="C77" s="2">
        <v>45010</v>
      </c>
      <c r="D77" t="s">
        <v>12</v>
      </c>
      <c r="E77" t="s">
        <v>13</v>
      </c>
      <c r="F77">
        <v>229</v>
      </c>
      <c r="G77">
        <v>177.8</v>
      </c>
      <c r="H77">
        <v>141.09</v>
      </c>
      <c r="I77">
        <f t="shared" si="2"/>
        <v>40716.200000000004</v>
      </c>
      <c r="J77">
        <f t="shared" si="3"/>
        <v>8406.5900000000038</v>
      </c>
      <c r="K77">
        <v>40</v>
      </c>
    </row>
    <row r="78" spans="1:11" x14ac:dyDescent="0.25">
      <c r="A78">
        <v>85</v>
      </c>
      <c r="B78" t="s">
        <v>105</v>
      </c>
      <c r="C78" s="2">
        <v>45011</v>
      </c>
      <c r="D78" t="s">
        <v>45</v>
      </c>
      <c r="E78" t="s">
        <v>13</v>
      </c>
      <c r="F78">
        <v>167</v>
      </c>
      <c r="G78">
        <v>282.37</v>
      </c>
      <c r="H78">
        <v>245.63</v>
      </c>
      <c r="I78">
        <f t="shared" si="2"/>
        <v>47155.79</v>
      </c>
      <c r="J78">
        <f t="shared" si="3"/>
        <v>6135.5800000000017</v>
      </c>
      <c r="K78">
        <v>31</v>
      </c>
    </row>
    <row r="79" spans="1:11" x14ac:dyDescent="0.25">
      <c r="A79">
        <v>87</v>
      </c>
      <c r="B79" t="s">
        <v>106</v>
      </c>
      <c r="C79" s="2">
        <v>45013</v>
      </c>
      <c r="D79" t="s">
        <v>45</v>
      </c>
      <c r="E79" t="s">
        <v>33</v>
      </c>
      <c r="F79">
        <v>55</v>
      </c>
      <c r="G79">
        <v>119.51</v>
      </c>
      <c r="H79">
        <v>79.84</v>
      </c>
      <c r="I79">
        <f t="shared" si="2"/>
        <v>6573.05</v>
      </c>
      <c r="J79">
        <f t="shared" si="3"/>
        <v>2181.8500000000004</v>
      </c>
      <c r="K79">
        <v>19</v>
      </c>
    </row>
    <row r="80" spans="1:11" x14ac:dyDescent="0.25">
      <c r="A80">
        <v>88</v>
      </c>
      <c r="B80" t="s">
        <v>107</v>
      </c>
      <c r="C80" s="2">
        <v>45014</v>
      </c>
      <c r="D80" t="s">
        <v>45</v>
      </c>
      <c r="E80" t="s">
        <v>18</v>
      </c>
      <c r="F80">
        <v>382</v>
      </c>
      <c r="G80">
        <v>194.77</v>
      </c>
      <c r="H80">
        <v>107.31</v>
      </c>
      <c r="I80">
        <f t="shared" si="2"/>
        <v>74402.14</v>
      </c>
      <c r="J80">
        <f t="shared" si="3"/>
        <v>33409.72</v>
      </c>
      <c r="K80">
        <v>62</v>
      </c>
    </row>
    <row r="81" spans="1:11" x14ac:dyDescent="0.25">
      <c r="A81">
        <v>91</v>
      </c>
      <c r="B81" t="s">
        <v>108</v>
      </c>
      <c r="C81" s="2">
        <v>45017</v>
      </c>
      <c r="D81" t="s">
        <v>15</v>
      </c>
      <c r="E81" t="s">
        <v>13</v>
      </c>
      <c r="F81">
        <v>389</v>
      </c>
      <c r="G81">
        <v>282.73</v>
      </c>
      <c r="H81">
        <v>92.49</v>
      </c>
      <c r="I81">
        <f t="shared" si="2"/>
        <v>109981.97</v>
      </c>
      <c r="J81">
        <f t="shared" si="3"/>
        <v>74003.360000000001</v>
      </c>
      <c r="K81">
        <v>68</v>
      </c>
    </row>
    <row r="82" spans="1:11" x14ac:dyDescent="0.25">
      <c r="A82">
        <v>92</v>
      </c>
      <c r="B82" t="s">
        <v>109</v>
      </c>
      <c r="C82" s="2">
        <v>45018</v>
      </c>
      <c r="D82" t="s">
        <v>45</v>
      </c>
      <c r="E82" t="s">
        <v>16</v>
      </c>
      <c r="F82">
        <v>242</v>
      </c>
      <c r="G82">
        <v>118.9</v>
      </c>
      <c r="H82">
        <v>37.549999999999997</v>
      </c>
      <c r="I82">
        <f t="shared" si="2"/>
        <v>28773.800000000003</v>
      </c>
      <c r="J82">
        <f t="shared" si="3"/>
        <v>19686.700000000004</v>
      </c>
      <c r="K82">
        <v>24</v>
      </c>
    </row>
    <row r="83" spans="1:11" x14ac:dyDescent="0.25">
      <c r="A83">
        <v>93</v>
      </c>
      <c r="B83" t="s">
        <v>110</v>
      </c>
      <c r="C83" s="2">
        <v>45019</v>
      </c>
      <c r="D83" t="s">
        <v>15</v>
      </c>
      <c r="E83" t="s">
        <v>33</v>
      </c>
      <c r="F83">
        <v>46</v>
      </c>
      <c r="G83">
        <v>288.55</v>
      </c>
      <c r="H83">
        <v>151.74</v>
      </c>
      <c r="I83">
        <f t="shared" si="2"/>
        <v>13273.300000000001</v>
      </c>
      <c r="J83">
        <f t="shared" si="3"/>
        <v>6293.26</v>
      </c>
      <c r="K83">
        <v>20</v>
      </c>
    </row>
    <row r="84" spans="1:11" x14ac:dyDescent="0.25">
      <c r="A84">
        <v>94</v>
      </c>
      <c r="B84" t="s">
        <v>111</v>
      </c>
      <c r="C84" s="2">
        <v>45020</v>
      </c>
      <c r="D84" t="s">
        <v>15</v>
      </c>
      <c r="E84" t="s">
        <v>18</v>
      </c>
      <c r="F84">
        <v>289</v>
      </c>
      <c r="G84">
        <v>272.08</v>
      </c>
      <c r="H84">
        <v>213.95</v>
      </c>
      <c r="I84">
        <f t="shared" si="2"/>
        <v>78631.12</v>
      </c>
      <c r="J84">
        <f t="shared" si="3"/>
        <v>16799.57</v>
      </c>
      <c r="K84">
        <v>64</v>
      </c>
    </row>
    <row r="85" spans="1:11" x14ac:dyDescent="0.25">
      <c r="A85">
        <v>95</v>
      </c>
      <c r="B85" t="s">
        <v>112</v>
      </c>
      <c r="C85" s="2">
        <v>45021</v>
      </c>
      <c r="D85" t="s">
        <v>45</v>
      </c>
      <c r="E85" t="s">
        <v>13</v>
      </c>
      <c r="F85">
        <v>358</v>
      </c>
      <c r="G85">
        <v>62.76</v>
      </c>
      <c r="H85">
        <v>56</v>
      </c>
      <c r="I85">
        <f t="shared" si="2"/>
        <v>22468.079999999998</v>
      </c>
      <c r="J85">
        <f t="shared" si="3"/>
        <v>2420.0799999999981</v>
      </c>
      <c r="K85">
        <v>40</v>
      </c>
    </row>
    <row r="86" spans="1:11" x14ac:dyDescent="0.25">
      <c r="A86">
        <v>96</v>
      </c>
      <c r="B86" t="s">
        <v>113</v>
      </c>
      <c r="C86" s="2">
        <v>45022</v>
      </c>
      <c r="D86" t="s">
        <v>15</v>
      </c>
      <c r="E86" t="s">
        <v>33</v>
      </c>
      <c r="F86">
        <v>311</v>
      </c>
      <c r="G86">
        <v>25.46</v>
      </c>
      <c r="H86">
        <v>9.94</v>
      </c>
      <c r="I86">
        <f t="shared" si="2"/>
        <v>7918.06</v>
      </c>
      <c r="J86">
        <f t="shared" si="3"/>
        <v>4826.7200000000012</v>
      </c>
      <c r="K86">
        <v>63</v>
      </c>
    </row>
    <row r="87" spans="1:11" x14ac:dyDescent="0.25">
      <c r="A87">
        <v>99</v>
      </c>
      <c r="B87" t="s">
        <v>114</v>
      </c>
      <c r="C87" s="2">
        <v>45025</v>
      </c>
      <c r="D87" t="s">
        <v>23</v>
      </c>
      <c r="E87" t="s">
        <v>33</v>
      </c>
      <c r="F87">
        <v>108</v>
      </c>
      <c r="G87">
        <v>32.86</v>
      </c>
      <c r="H87">
        <v>28.98</v>
      </c>
      <c r="I87">
        <f t="shared" si="2"/>
        <v>3548.88</v>
      </c>
      <c r="J87">
        <f t="shared" si="3"/>
        <v>419.03999999999996</v>
      </c>
      <c r="K87">
        <v>62</v>
      </c>
    </row>
    <row r="88" spans="1:11" x14ac:dyDescent="0.25">
      <c r="A88">
        <v>100</v>
      </c>
      <c r="B88" t="s">
        <v>115</v>
      </c>
      <c r="C88" s="2">
        <v>45026</v>
      </c>
      <c r="D88" t="s">
        <v>45</v>
      </c>
      <c r="E88" t="s">
        <v>13</v>
      </c>
      <c r="F88">
        <v>197</v>
      </c>
      <c r="G88">
        <v>206.49</v>
      </c>
      <c r="H88">
        <v>166.28</v>
      </c>
      <c r="I88">
        <f t="shared" si="2"/>
        <v>40678.53</v>
      </c>
      <c r="J88">
        <f t="shared" si="3"/>
        <v>7921.369999999999</v>
      </c>
      <c r="K88">
        <v>35</v>
      </c>
    </row>
    <row r="89" spans="1:11" x14ac:dyDescent="0.25">
      <c r="A89">
        <v>101</v>
      </c>
      <c r="B89" t="s">
        <v>116</v>
      </c>
      <c r="C89" s="2">
        <v>45027</v>
      </c>
      <c r="D89" t="s">
        <v>36</v>
      </c>
      <c r="E89" t="s">
        <v>16</v>
      </c>
      <c r="F89">
        <v>490</v>
      </c>
      <c r="G89">
        <v>26</v>
      </c>
      <c r="H89">
        <v>20.88</v>
      </c>
      <c r="I89">
        <f t="shared" si="2"/>
        <v>12740</v>
      </c>
      <c r="J89">
        <f t="shared" si="3"/>
        <v>2508.8000000000011</v>
      </c>
      <c r="K89">
        <v>55</v>
      </c>
    </row>
    <row r="90" spans="1:11" x14ac:dyDescent="0.25">
      <c r="A90">
        <v>102</v>
      </c>
      <c r="B90" t="s">
        <v>117</v>
      </c>
      <c r="C90" s="2">
        <v>45028</v>
      </c>
      <c r="D90" t="s">
        <v>45</v>
      </c>
      <c r="E90" t="s">
        <v>13</v>
      </c>
      <c r="F90">
        <v>125</v>
      </c>
      <c r="G90">
        <v>99.1</v>
      </c>
      <c r="H90">
        <v>57.6</v>
      </c>
      <c r="I90">
        <f t="shared" si="2"/>
        <v>12387.5</v>
      </c>
      <c r="J90">
        <f t="shared" si="3"/>
        <v>5187.5</v>
      </c>
      <c r="K90">
        <v>52</v>
      </c>
    </row>
    <row r="91" spans="1:11" x14ac:dyDescent="0.25">
      <c r="A91">
        <v>103</v>
      </c>
      <c r="B91" t="s">
        <v>118</v>
      </c>
      <c r="C91" s="2">
        <v>45029</v>
      </c>
      <c r="D91" t="s">
        <v>36</v>
      </c>
      <c r="E91" t="s">
        <v>13</v>
      </c>
      <c r="F91">
        <v>200</v>
      </c>
      <c r="G91">
        <v>254.24</v>
      </c>
      <c r="H91">
        <v>139.55000000000001</v>
      </c>
      <c r="I91">
        <f t="shared" si="2"/>
        <v>50848</v>
      </c>
      <c r="J91">
        <f t="shared" si="3"/>
        <v>22937.999999999996</v>
      </c>
      <c r="K91">
        <v>68</v>
      </c>
    </row>
    <row r="92" spans="1:11" x14ac:dyDescent="0.25">
      <c r="A92">
        <v>104</v>
      </c>
      <c r="B92" t="s">
        <v>119</v>
      </c>
      <c r="C92" s="2">
        <v>45030</v>
      </c>
      <c r="D92" t="s">
        <v>23</v>
      </c>
      <c r="E92" t="s">
        <v>13</v>
      </c>
      <c r="F92">
        <v>262</v>
      </c>
      <c r="G92">
        <v>11.87</v>
      </c>
      <c r="H92">
        <v>5.51</v>
      </c>
      <c r="I92">
        <f t="shared" si="2"/>
        <v>3109.9399999999996</v>
      </c>
      <c r="J92">
        <f t="shared" si="3"/>
        <v>1666.3199999999997</v>
      </c>
      <c r="K92">
        <v>32</v>
      </c>
    </row>
    <row r="93" spans="1:11" x14ac:dyDescent="0.25">
      <c r="A93">
        <v>105</v>
      </c>
      <c r="B93" t="s">
        <v>120</v>
      </c>
      <c r="C93" s="2">
        <v>45031</v>
      </c>
      <c r="D93" t="s">
        <v>45</v>
      </c>
      <c r="E93" t="s">
        <v>33</v>
      </c>
      <c r="F93">
        <v>478</v>
      </c>
      <c r="G93">
        <v>245.27</v>
      </c>
      <c r="H93">
        <v>81.88</v>
      </c>
      <c r="I93">
        <f t="shared" si="2"/>
        <v>117239.06</v>
      </c>
      <c r="J93">
        <f t="shared" si="3"/>
        <v>78100.42</v>
      </c>
      <c r="K93">
        <v>42</v>
      </c>
    </row>
    <row r="94" spans="1:11" x14ac:dyDescent="0.25">
      <c r="A94">
        <v>106</v>
      </c>
      <c r="B94" t="s">
        <v>121</v>
      </c>
      <c r="C94" s="2">
        <v>45032</v>
      </c>
      <c r="D94" t="s">
        <v>12</v>
      </c>
      <c r="E94" t="s">
        <v>33</v>
      </c>
      <c r="F94">
        <v>425</v>
      </c>
      <c r="G94">
        <v>88.15</v>
      </c>
      <c r="H94">
        <v>72.180000000000007</v>
      </c>
      <c r="I94">
        <f t="shared" si="2"/>
        <v>37463.75</v>
      </c>
      <c r="J94">
        <f t="shared" si="3"/>
        <v>6787.2499999999964</v>
      </c>
      <c r="K94">
        <v>54</v>
      </c>
    </row>
    <row r="95" spans="1:11" x14ac:dyDescent="0.25">
      <c r="A95">
        <v>107</v>
      </c>
      <c r="B95" t="s">
        <v>122</v>
      </c>
      <c r="C95" s="2">
        <v>45033</v>
      </c>
      <c r="D95" t="s">
        <v>15</v>
      </c>
      <c r="E95" t="s">
        <v>13</v>
      </c>
      <c r="F95">
        <v>480</v>
      </c>
      <c r="G95">
        <v>39.86</v>
      </c>
      <c r="H95">
        <v>31.4</v>
      </c>
      <c r="I95">
        <f t="shared" si="2"/>
        <v>19132.8</v>
      </c>
      <c r="J95">
        <f t="shared" si="3"/>
        <v>4060.7999999999993</v>
      </c>
      <c r="K95">
        <v>45</v>
      </c>
    </row>
    <row r="96" spans="1:11" x14ac:dyDescent="0.25">
      <c r="A96">
        <v>108</v>
      </c>
      <c r="B96" t="s">
        <v>123</v>
      </c>
      <c r="C96" s="2">
        <v>45034</v>
      </c>
      <c r="D96" t="s">
        <v>36</v>
      </c>
      <c r="E96" t="s">
        <v>33</v>
      </c>
      <c r="F96">
        <v>170</v>
      </c>
      <c r="G96">
        <v>210.54</v>
      </c>
      <c r="H96">
        <v>189.45</v>
      </c>
      <c r="I96">
        <f t="shared" si="2"/>
        <v>35791.799999999996</v>
      </c>
      <c r="J96">
        <f t="shared" si="3"/>
        <v>3585.2999999999993</v>
      </c>
      <c r="K96">
        <v>27</v>
      </c>
    </row>
    <row r="97" spans="1:11" x14ac:dyDescent="0.25">
      <c r="A97">
        <v>109</v>
      </c>
      <c r="B97" t="s">
        <v>124</v>
      </c>
      <c r="C97" s="2">
        <v>45035</v>
      </c>
      <c r="D97" t="s">
        <v>15</v>
      </c>
      <c r="E97" t="s">
        <v>18</v>
      </c>
      <c r="F97">
        <v>265</v>
      </c>
      <c r="G97">
        <v>190.54</v>
      </c>
      <c r="H97">
        <v>171.1</v>
      </c>
      <c r="I97">
        <f t="shared" si="2"/>
        <v>50493.1</v>
      </c>
      <c r="J97">
        <f t="shared" si="3"/>
        <v>5151.5999999999985</v>
      </c>
      <c r="K97">
        <v>56</v>
      </c>
    </row>
    <row r="98" spans="1:11" x14ac:dyDescent="0.25">
      <c r="A98">
        <v>110</v>
      </c>
      <c r="B98" t="s">
        <v>125</v>
      </c>
      <c r="C98" s="2">
        <v>45036</v>
      </c>
      <c r="D98" t="s">
        <v>15</v>
      </c>
      <c r="E98" t="s">
        <v>18</v>
      </c>
      <c r="F98">
        <v>332</v>
      </c>
      <c r="G98">
        <v>263.85000000000002</v>
      </c>
      <c r="H98">
        <v>167.09</v>
      </c>
      <c r="I98">
        <f t="shared" si="2"/>
        <v>87598.200000000012</v>
      </c>
      <c r="J98">
        <f t="shared" si="3"/>
        <v>32124.320000000007</v>
      </c>
      <c r="K98">
        <v>34</v>
      </c>
    </row>
    <row r="99" spans="1:11" x14ac:dyDescent="0.25">
      <c r="A99">
        <v>111</v>
      </c>
      <c r="B99" t="s">
        <v>126</v>
      </c>
      <c r="C99" s="2">
        <v>45037</v>
      </c>
      <c r="D99" t="s">
        <v>45</v>
      </c>
      <c r="E99" t="s">
        <v>33</v>
      </c>
      <c r="F99">
        <v>137</v>
      </c>
      <c r="G99">
        <v>221.85</v>
      </c>
      <c r="H99">
        <v>168.91</v>
      </c>
      <c r="I99">
        <f t="shared" si="2"/>
        <v>30393.45</v>
      </c>
      <c r="J99">
        <f t="shared" si="3"/>
        <v>7252.7800000000025</v>
      </c>
      <c r="K99">
        <v>56</v>
      </c>
    </row>
    <row r="100" spans="1:11" x14ac:dyDescent="0.25">
      <c r="A100">
        <v>112</v>
      </c>
      <c r="B100" t="s">
        <v>127</v>
      </c>
      <c r="C100" s="2">
        <v>45038</v>
      </c>
      <c r="D100" t="s">
        <v>15</v>
      </c>
      <c r="E100" t="s">
        <v>33</v>
      </c>
      <c r="F100">
        <v>27</v>
      </c>
      <c r="G100">
        <v>242.03</v>
      </c>
      <c r="H100">
        <v>209.81</v>
      </c>
      <c r="I100">
        <f t="shared" si="2"/>
        <v>6534.81</v>
      </c>
      <c r="J100">
        <f t="shared" si="3"/>
        <v>869.94000000000051</v>
      </c>
      <c r="K100">
        <v>39</v>
      </c>
    </row>
    <row r="101" spans="1:11" x14ac:dyDescent="0.25">
      <c r="A101">
        <v>113</v>
      </c>
      <c r="B101" t="s">
        <v>128</v>
      </c>
      <c r="C101" s="2">
        <v>45039</v>
      </c>
      <c r="D101" t="s">
        <v>12</v>
      </c>
      <c r="E101" t="s">
        <v>13</v>
      </c>
      <c r="F101">
        <v>290</v>
      </c>
      <c r="G101">
        <v>88.2</v>
      </c>
      <c r="H101">
        <v>71.42</v>
      </c>
      <c r="I101">
        <f t="shared" si="2"/>
        <v>25578</v>
      </c>
      <c r="J101">
        <f t="shared" si="3"/>
        <v>4866.2000000000007</v>
      </c>
      <c r="K101">
        <v>43</v>
      </c>
    </row>
    <row r="102" spans="1:11" x14ac:dyDescent="0.25">
      <c r="A102">
        <v>114</v>
      </c>
      <c r="B102" t="s">
        <v>129</v>
      </c>
      <c r="C102" s="2">
        <v>45040</v>
      </c>
      <c r="D102" t="s">
        <v>15</v>
      </c>
      <c r="E102" t="s">
        <v>16</v>
      </c>
      <c r="F102">
        <v>499</v>
      </c>
      <c r="G102">
        <v>57.34</v>
      </c>
      <c r="H102">
        <v>25.71</v>
      </c>
      <c r="I102">
        <f t="shared" si="2"/>
        <v>28612.660000000003</v>
      </c>
      <c r="J102">
        <f t="shared" si="3"/>
        <v>15783.370000000003</v>
      </c>
      <c r="K102">
        <v>61</v>
      </c>
    </row>
    <row r="103" spans="1:11" x14ac:dyDescent="0.25">
      <c r="A103">
        <v>115</v>
      </c>
      <c r="B103" t="s">
        <v>130</v>
      </c>
      <c r="C103" s="2">
        <v>45041</v>
      </c>
      <c r="D103" t="s">
        <v>45</v>
      </c>
      <c r="E103" t="s">
        <v>33</v>
      </c>
      <c r="F103">
        <v>232</v>
      </c>
      <c r="G103">
        <v>226.43</v>
      </c>
      <c r="H103">
        <v>129.13999999999999</v>
      </c>
      <c r="I103">
        <f t="shared" si="2"/>
        <v>52531.76</v>
      </c>
      <c r="J103">
        <f t="shared" si="3"/>
        <v>22571.280000000006</v>
      </c>
      <c r="K103">
        <v>42</v>
      </c>
    </row>
    <row r="104" spans="1:11" x14ac:dyDescent="0.25">
      <c r="A104">
        <v>116</v>
      </c>
      <c r="B104" t="s">
        <v>131</v>
      </c>
      <c r="C104" s="2">
        <v>45042</v>
      </c>
      <c r="D104" t="s">
        <v>12</v>
      </c>
      <c r="E104" t="s">
        <v>18</v>
      </c>
      <c r="F104">
        <v>63</v>
      </c>
      <c r="G104">
        <v>243.02</v>
      </c>
      <c r="H104">
        <v>91.74</v>
      </c>
      <c r="I104">
        <f t="shared" si="2"/>
        <v>15310.26</v>
      </c>
      <c r="J104">
        <f t="shared" si="3"/>
        <v>9530.64</v>
      </c>
      <c r="K104">
        <v>34</v>
      </c>
    </row>
    <row r="105" spans="1:11" x14ac:dyDescent="0.25">
      <c r="A105">
        <v>117</v>
      </c>
      <c r="B105" t="s">
        <v>132</v>
      </c>
      <c r="C105" s="2">
        <v>45043</v>
      </c>
      <c r="D105" t="s">
        <v>23</v>
      </c>
      <c r="E105" t="s">
        <v>13</v>
      </c>
      <c r="F105">
        <v>67</v>
      </c>
      <c r="G105">
        <v>297.2</v>
      </c>
      <c r="H105">
        <v>259.29000000000002</v>
      </c>
      <c r="I105">
        <f t="shared" si="2"/>
        <v>19912.399999999998</v>
      </c>
      <c r="J105">
        <f t="shared" si="3"/>
        <v>2539.9699999999975</v>
      </c>
      <c r="K105">
        <v>30</v>
      </c>
    </row>
    <row r="106" spans="1:11" x14ac:dyDescent="0.25">
      <c r="A106">
        <v>118</v>
      </c>
      <c r="B106" t="s">
        <v>133</v>
      </c>
      <c r="C106" s="2">
        <v>45044</v>
      </c>
      <c r="D106" t="s">
        <v>15</v>
      </c>
      <c r="E106" t="s">
        <v>33</v>
      </c>
      <c r="F106">
        <v>332</v>
      </c>
      <c r="G106">
        <v>126.72</v>
      </c>
      <c r="H106">
        <v>84.1</v>
      </c>
      <c r="I106">
        <f t="shared" si="2"/>
        <v>42071.040000000001</v>
      </c>
      <c r="J106">
        <f t="shared" si="3"/>
        <v>14149.840000000004</v>
      </c>
      <c r="K106">
        <v>37</v>
      </c>
    </row>
    <row r="107" spans="1:11" x14ac:dyDescent="0.25">
      <c r="A107">
        <v>120</v>
      </c>
      <c r="B107" t="s">
        <v>134</v>
      </c>
      <c r="C107" s="2">
        <v>45046</v>
      </c>
      <c r="D107" t="s">
        <v>23</v>
      </c>
      <c r="E107" t="s">
        <v>18</v>
      </c>
      <c r="F107">
        <v>183</v>
      </c>
      <c r="G107">
        <v>234.04</v>
      </c>
      <c r="H107">
        <v>164.53</v>
      </c>
      <c r="I107">
        <f t="shared" si="2"/>
        <v>42829.32</v>
      </c>
      <c r="J107">
        <f t="shared" si="3"/>
        <v>12720.329999999998</v>
      </c>
      <c r="K107">
        <v>21</v>
      </c>
    </row>
    <row r="108" spans="1:11" x14ac:dyDescent="0.25">
      <c r="A108">
        <v>121</v>
      </c>
      <c r="B108" t="s">
        <v>135</v>
      </c>
      <c r="C108" s="2">
        <v>45047</v>
      </c>
      <c r="D108" t="s">
        <v>23</v>
      </c>
      <c r="E108" t="s">
        <v>16</v>
      </c>
      <c r="F108">
        <v>289</v>
      </c>
      <c r="G108">
        <v>105.54</v>
      </c>
      <c r="H108">
        <v>70.8</v>
      </c>
      <c r="I108">
        <f t="shared" si="2"/>
        <v>30501.06</v>
      </c>
      <c r="J108">
        <f t="shared" si="3"/>
        <v>10039.86</v>
      </c>
      <c r="K108">
        <v>27</v>
      </c>
    </row>
    <row r="109" spans="1:11" x14ac:dyDescent="0.25">
      <c r="A109">
        <v>122</v>
      </c>
      <c r="B109" t="s">
        <v>136</v>
      </c>
      <c r="C109" s="2">
        <v>45048</v>
      </c>
      <c r="D109" t="s">
        <v>36</v>
      </c>
      <c r="E109" t="s">
        <v>13</v>
      </c>
      <c r="F109">
        <v>123</v>
      </c>
      <c r="G109">
        <v>279.57</v>
      </c>
      <c r="H109">
        <v>143.94999999999999</v>
      </c>
      <c r="I109">
        <f t="shared" si="2"/>
        <v>34387.11</v>
      </c>
      <c r="J109">
        <f t="shared" si="3"/>
        <v>16681.260000000002</v>
      </c>
      <c r="K109">
        <v>20</v>
      </c>
    </row>
    <row r="110" spans="1:11" x14ac:dyDescent="0.25">
      <c r="A110">
        <v>123</v>
      </c>
      <c r="B110" t="s">
        <v>137</v>
      </c>
      <c r="C110" s="2">
        <v>45049</v>
      </c>
      <c r="D110" t="s">
        <v>12</v>
      </c>
      <c r="E110" t="s">
        <v>13</v>
      </c>
      <c r="F110">
        <v>297</v>
      </c>
      <c r="G110">
        <v>258.23</v>
      </c>
      <c r="H110">
        <v>95.06</v>
      </c>
      <c r="I110">
        <f t="shared" si="2"/>
        <v>76694.310000000012</v>
      </c>
      <c r="J110">
        <f t="shared" si="3"/>
        <v>48461.490000000013</v>
      </c>
      <c r="K110">
        <v>58</v>
      </c>
    </row>
    <row r="111" spans="1:11" x14ac:dyDescent="0.25">
      <c r="A111">
        <v>124</v>
      </c>
      <c r="B111" t="s">
        <v>138</v>
      </c>
      <c r="C111" s="2">
        <v>45050</v>
      </c>
      <c r="D111" t="s">
        <v>15</v>
      </c>
      <c r="E111" t="s">
        <v>16</v>
      </c>
      <c r="F111">
        <v>440</v>
      </c>
      <c r="G111">
        <v>131.55000000000001</v>
      </c>
      <c r="H111">
        <v>92.47</v>
      </c>
      <c r="I111">
        <f t="shared" si="2"/>
        <v>57882.000000000007</v>
      </c>
      <c r="J111">
        <f t="shared" si="3"/>
        <v>17195.200000000004</v>
      </c>
      <c r="K111">
        <v>62</v>
      </c>
    </row>
    <row r="112" spans="1:11" x14ac:dyDescent="0.25">
      <c r="A112">
        <v>126</v>
      </c>
      <c r="B112" t="s">
        <v>139</v>
      </c>
      <c r="C112" s="2">
        <v>45052</v>
      </c>
      <c r="D112" t="s">
        <v>36</v>
      </c>
      <c r="E112" t="s">
        <v>13</v>
      </c>
      <c r="F112">
        <v>160</v>
      </c>
      <c r="G112">
        <v>227.59</v>
      </c>
      <c r="H112">
        <v>173.74</v>
      </c>
      <c r="I112">
        <f t="shared" si="2"/>
        <v>36414.400000000001</v>
      </c>
      <c r="J112">
        <f t="shared" si="3"/>
        <v>8616</v>
      </c>
      <c r="K112">
        <v>64</v>
      </c>
    </row>
    <row r="113" spans="1:11" x14ac:dyDescent="0.25">
      <c r="A113">
        <v>127</v>
      </c>
      <c r="B113" t="s">
        <v>140</v>
      </c>
      <c r="C113" s="2">
        <v>45053</v>
      </c>
      <c r="D113" t="s">
        <v>12</v>
      </c>
      <c r="E113" t="s">
        <v>13</v>
      </c>
      <c r="F113">
        <v>459</v>
      </c>
      <c r="G113">
        <v>35.42</v>
      </c>
      <c r="H113">
        <v>21.68</v>
      </c>
      <c r="I113">
        <f t="shared" si="2"/>
        <v>16257.78</v>
      </c>
      <c r="J113">
        <f t="shared" si="3"/>
        <v>6306.6600000000017</v>
      </c>
      <c r="K113">
        <v>53</v>
      </c>
    </row>
    <row r="114" spans="1:11" x14ac:dyDescent="0.25">
      <c r="A114">
        <v>128</v>
      </c>
      <c r="B114" t="s">
        <v>141</v>
      </c>
      <c r="C114" s="2">
        <v>45054</v>
      </c>
      <c r="D114" t="s">
        <v>36</v>
      </c>
      <c r="E114" t="s">
        <v>33</v>
      </c>
      <c r="F114">
        <v>136</v>
      </c>
      <c r="G114">
        <v>271.25</v>
      </c>
      <c r="H114">
        <v>220.07</v>
      </c>
      <c r="I114">
        <f t="shared" si="2"/>
        <v>36890</v>
      </c>
      <c r="J114">
        <f t="shared" si="3"/>
        <v>6960.48</v>
      </c>
      <c r="K114">
        <v>64</v>
      </c>
    </row>
    <row r="115" spans="1:11" x14ac:dyDescent="0.25">
      <c r="A115">
        <v>130</v>
      </c>
      <c r="B115" t="s">
        <v>142</v>
      </c>
      <c r="C115" s="2">
        <v>45056</v>
      </c>
      <c r="D115" t="s">
        <v>12</v>
      </c>
      <c r="E115" t="s">
        <v>16</v>
      </c>
      <c r="F115">
        <v>499</v>
      </c>
      <c r="G115">
        <v>248.8</v>
      </c>
      <c r="H115">
        <v>158.38</v>
      </c>
      <c r="I115">
        <f t="shared" si="2"/>
        <v>124151.20000000001</v>
      </c>
      <c r="J115">
        <f t="shared" si="3"/>
        <v>45119.580000000016</v>
      </c>
      <c r="K115">
        <v>51</v>
      </c>
    </row>
    <row r="116" spans="1:11" x14ac:dyDescent="0.25">
      <c r="A116">
        <v>131</v>
      </c>
      <c r="B116" t="s">
        <v>143</v>
      </c>
      <c r="C116" s="2">
        <v>45057</v>
      </c>
      <c r="D116" t="s">
        <v>15</v>
      </c>
      <c r="E116" t="s">
        <v>33</v>
      </c>
      <c r="F116">
        <v>395</v>
      </c>
      <c r="G116">
        <v>99.41</v>
      </c>
      <c r="H116">
        <v>82.11</v>
      </c>
      <c r="I116">
        <f t="shared" si="2"/>
        <v>39266.949999999997</v>
      </c>
      <c r="J116">
        <f t="shared" si="3"/>
        <v>6833.4999999999964</v>
      </c>
      <c r="K116">
        <v>64</v>
      </c>
    </row>
    <row r="117" spans="1:11" x14ac:dyDescent="0.25">
      <c r="A117">
        <v>132</v>
      </c>
      <c r="B117" t="s">
        <v>144</v>
      </c>
      <c r="C117" s="2">
        <v>45058</v>
      </c>
      <c r="D117" t="s">
        <v>12</v>
      </c>
      <c r="E117" t="s">
        <v>18</v>
      </c>
      <c r="F117">
        <v>483</v>
      </c>
      <c r="G117">
        <v>269.18</v>
      </c>
      <c r="H117">
        <v>145.91999999999999</v>
      </c>
      <c r="I117">
        <f t="shared" si="2"/>
        <v>130013.94</v>
      </c>
      <c r="J117">
        <f t="shared" si="3"/>
        <v>59534.58</v>
      </c>
      <c r="K117">
        <v>25</v>
      </c>
    </row>
    <row r="118" spans="1:11" x14ac:dyDescent="0.25">
      <c r="A118">
        <v>133</v>
      </c>
      <c r="B118" t="s">
        <v>145</v>
      </c>
      <c r="C118" s="2">
        <v>45059</v>
      </c>
      <c r="D118" t="s">
        <v>36</v>
      </c>
      <c r="E118" t="s">
        <v>33</v>
      </c>
      <c r="F118">
        <v>282</v>
      </c>
      <c r="G118">
        <v>119.81</v>
      </c>
      <c r="H118">
        <v>45.58</v>
      </c>
      <c r="I118">
        <f t="shared" si="2"/>
        <v>33786.42</v>
      </c>
      <c r="J118">
        <f t="shared" si="3"/>
        <v>20932.86</v>
      </c>
      <c r="K118">
        <v>57</v>
      </c>
    </row>
    <row r="119" spans="1:11" x14ac:dyDescent="0.25">
      <c r="A119">
        <v>134</v>
      </c>
      <c r="B119" t="s">
        <v>146</v>
      </c>
      <c r="C119" s="2">
        <v>45060</v>
      </c>
      <c r="D119" t="s">
        <v>12</v>
      </c>
      <c r="E119" t="s">
        <v>33</v>
      </c>
      <c r="F119">
        <v>113</v>
      </c>
      <c r="G119">
        <v>8.1999999999999993</v>
      </c>
      <c r="H119">
        <v>2.6</v>
      </c>
      <c r="I119">
        <f t="shared" si="2"/>
        <v>926.59999999999991</v>
      </c>
      <c r="J119">
        <f t="shared" si="3"/>
        <v>632.79999999999995</v>
      </c>
      <c r="K119">
        <v>66</v>
      </c>
    </row>
    <row r="120" spans="1:11" x14ac:dyDescent="0.25">
      <c r="A120">
        <v>135</v>
      </c>
      <c r="B120" t="s">
        <v>147</v>
      </c>
      <c r="C120" s="2">
        <v>45061</v>
      </c>
      <c r="D120" t="s">
        <v>15</v>
      </c>
      <c r="E120" t="s">
        <v>18</v>
      </c>
      <c r="F120">
        <v>426</v>
      </c>
      <c r="G120">
        <v>272.08999999999997</v>
      </c>
      <c r="H120">
        <v>204.91</v>
      </c>
      <c r="I120">
        <f t="shared" si="2"/>
        <v>115910.34</v>
      </c>
      <c r="J120">
        <f t="shared" si="3"/>
        <v>28618.679999999993</v>
      </c>
      <c r="K120">
        <v>61</v>
      </c>
    </row>
    <row r="121" spans="1:11" x14ac:dyDescent="0.25">
      <c r="A121">
        <v>136</v>
      </c>
      <c r="B121" t="s">
        <v>148</v>
      </c>
      <c r="C121" s="2">
        <v>45062</v>
      </c>
      <c r="D121" t="s">
        <v>15</v>
      </c>
      <c r="E121" t="s">
        <v>16</v>
      </c>
      <c r="F121">
        <v>402</v>
      </c>
      <c r="G121">
        <v>31.93</v>
      </c>
      <c r="H121">
        <v>21.46</v>
      </c>
      <c r="I121">
        <f t="shared" si="2"/>
        <v>12835.86</v>
      </c>
      <c r="J121">
        <f t="shared" si="3"/>
        <v>4208.9400000000005</v>
      </c>
      <c r="K121">
        <v>36</v>
      </c>
    </row>
    <row r="122" spans="1:11" x14ac:dyDescent="0.25">
      <c r="A122">
        <v>137</v>
      </c>
      <c r="B122" t="s">
        <v>149</v>
      </c>
      <c r="C122" s="2">
        <v>45063</v>
      </c>
      <c r="D122" t="s">
        <v>36</v>
      </c>
      <c r="E122" t="s">
        <v>18</v>
      </c>
      <c r="F122">
        <v>308</v>
      </c>
      <c r="G122">
        <v>99.2</v>
      </c>
      <c r="H122">
        <v>71.67</v>
      </c>
      <c r="I122">
        <f t="shared" si="2"/>
        <v>30553.600000000002</v>
      </c>
      <c r="J122">
        <f t="shared" si="3"/>
        <v>8479.2400000000016</v>
      </c>
      <c r="K122">
        <v>59</v>
      </c>
    </row>
    <row r="123" spans="1:11" x14ac:dyDescent="0.25">
      <c r="A123">
        <v>138</v>
      </c>
      <c r="B123" t="s">
        <v>150</v>
      </c>
      <c r="C123" s="2">
        <v>45064</v>
      </c>
      <c r="D123" t="s">
        <v>23</v>
      </c>
      <c r="E123" t="s">
        <v>33</v>
      </c>
      <c r="F123">
        <v>255</v>
      </c>
      <c r="G123">
        <v>285.27</v>
      </c>
      <c r="H123">
        <v>122.03</v>
      </c>
      <c r="I123">
        <f t="shared" si="2"/>
        <v>72743.849999999991</v>
      </c>
      <c r="J123">
        <f t="shared" si="3"/>
        <v>41626.19999999999</v>
      </c>
      <c r="K123">
        <v>58</v>
      </c>
    </row>
    <row r="124" spans="1:11" x14ac:dyDescent="0.25">
      <c r="A124">
        <v>139</v>
      </c>
      <c r="B124" t="s">
        <v>151</v>
      </c>
      <c r="C124" s="2">
        <v>45065</v>
      </c>
      <c r="D124" t="s">
        <v>23</v>
      </c>
      <c r="E124" t="s">
        <v>16</v>
      </c>
      <c r="F124">
        <v>185</v>
      </c>
      <c r="G124">
        <v>285.43</v>
      </c>
      <c r="H124">
        <v>108.98</v>
      </c>
      <c r="I124">
        <f t="shared" si="2"/>
        <v>52804.55</v>
      </c>
      <c r="J124">
        <f t="shared" si="3"/>
        <v>32643.250000000004</v>
      </c>
      <c r="K124">
        <v>54</v>
      </c>
    </row>
    <row r="125" spans="1:11" x14ac:dyDescent="0.25">
      <c r="A125">
        <v>140</v>
      </c>
      <c r="B125" t="s">
        <v>152</v>
      </c>
      <c r="C125" s="2">
        <v>45066</v>
      </c>
      <c r="D125" t="s">
        <v>12</v>
      </c>
      <c r="E125" t="s">
        <v>33</v>
      </c>
      <c r="F125">
        <v>48</v>
      </c>
      <c r="G125">
        <v>174.16</v>
      </c>
      <c r="H125">
        <v>53.77</v>
      </c>
      <c r="I125">
        <f t="shared" si="2"/>
        <v>8359.68</v>
      </c>
      <c r="J125">
        <f t="shared" si="3"/>
        <v>5778.72</v>
      </c>
      <c r="K125">
        <v>23</v>
      </c>
    </row>
    <row r="126" spans="1:11" x14ac:dyDescent="0.25">
      <c r="A126">
        <v>141</v>
      </c>
      <c r="B126" t="s">
        <v>153</v>
      </c>
      <c r="C126" s="2">
        <v>45067</v>
      </c>
      <c r="D126" t="s">
        <v>45</v>
      </c>
      <c r="E126" t="s">
        <v>18</v>
      </c>
      <c r="F126">
        <v>486</v>
      </c>
      <c r="G126">
        <v>191.39</v>
      </c>
      <c r="H126">
        <v>97.68</v>
      </c>
      <c r="I126">
        <f t="shared" si="2"/>
        <v>93015.54</v>
      </c>
      <c r="J126">
        <f t="shared" si="3"/>
        <v>45543.05999999999</v>
      </c>
      <c r="K126">
        <v>69</v>
      </c>
    </row>
    <row r="127" spans="1:11" x14ac:dyDescent="0.25">
      <c r="A127">
        <v>142</v>
      </c>
      <c r="B127" t="s">
        <v>154</v>
      </c>
      <c r="C127" s="2">
        <v>45068</v>
      </c>
      <c r="D127" t="s">
        <v>12</v>
      </c>
      <c r="E127" t="s">
        <v>18</v>
      </c>
      <c r="F127">
        <v>179</v>
      </c>
      <c r="G127">
        <v>137.29</v>
      </c>
      <c r="H127">
        <v>89.78</v>
      </c>
      <c r="I127">
        <f t="shared" si="2"/>
        <v>24574.91</v>
      </c>
      <c r="J127">
        <f t="shared" si="3"/>
        <v>8504.2899999999991</v>
      </c>
      <c r="K127">
        <v>43</v>
      </c>
    </row>
    <row r="128" spans="1:11" x14ac:dyDescent="0.25">
      <c r="A128">
        <v>143</v>
      </c>
      <c r="B128" t="s">
        <v>155</v>
      </c>
      <c r="C128" s="2">
        <v>45069</v>
      </c>
      <c r="D128" t="s">
        <v>36</v>
      </c>
      <c r="E128" t="s">
        <v>33</v>
      </c>
      <c r="F128">
        <v>256</v>
      </c>
      <c r="G128">
        <v>91.5</v>
      </c>
      <c r="H128">
        <v>48.98</v>
      </c>
      <c r="I128">
        <f t="shared" si="2"/>
        <v>23424</v>
      </c>
      <c r="J128">
        <f t="shared" si="3"/>
        <v>10885.12</v>
      </c>
      <c r="K128">
        <v>51</v>
      </c>
    </row>
    <row r="129" spans="1:11" x14ac:dyDescent="0.25">
      <c r="A129">
        <v>146</v>
      </c>
      <c r="B129" t="s">
        <v>156</v>
      </c>
      <c r="C129" s="2">
        <v>45072</v>
      </c>
      <c r="D129" t="s">
        <v>36</v>
      </c>
      <c r="E129" t="s">
        <v>18</v>
      </c>
      <c r="F129">
        <v>315</v>
      </c>
      <c r="G129">
        <v>226.95</v>
      </c>
      <c r="H129">
        <v>115.51</v>
      </c>
      <c r="I129">
        <f t="shared" si="2"/>
        <v>71489.25</v>
      </c>
      <c r="J129">
        <f t="shared" si="3"/>
        <v>35103.599999999999</v>
      </c>
      <c r="K129">
        <v>54</v>
      </c>
    </row>
    <row r="130" spans="1:11" x14ac:dyDescent="0.25">
      <c r="A130">
        <v>148</v>
      </c>
      <c r="B130" t="s">
        <v>157</v>
      </c>
      <c r="C130" s="2">
        <v>45074</v>
      </c>
      <c r="D130" t="s">
        <v>15</v>
      </c>
      <c r="E130" t="s">
        <v>13</v>
      </c>
      <c r="F130">
        <v>417</v>
      </c>
      <c r="G130">
        <v>237.94</v>
      </c>
      <c r="H130">
        <v>183.26</v>
      </c>
      <c r="I130">
        <f t="shared" si="2"/>
        <v>99220.98</v>
      </c>
      <c r="J130">
        <f t="shared" si="3"/>
        <v>22801.559999999998</v>
      </c>
      <c r="K130">
        <v>39</v>
      </c>
    </row>
    <row r="131" spans="1:11" x14ac:dyDescent="0.25">
      <c r="A131">
        <v>150</v>
      </c>
      <c r="B131" t="s">
        <v>158</v>
      </c>
      <c r="C131" s="2">
        <v>45076</v>
      </c>
      <c r="D131" t="s">
        <v>36</v>
      </c>
      <c r="E131" t="s">
        <v>33</v>
      </c>
      <c r="F131">
        <v>325</v>
      </c>
      <c r="G131">
        <v>150.85</v>
      </c>
      <c r="H131">
        <v>101.56</v>
      </c>
      <c r="I131">
        <f t="shared" ref="I131:I194" si="4">F131*G131</f>
        <v>49026.25</v>
      </c>
      <c r="J131">
        <f t="shared" ref="J131:J194" si="5" xml:space="preserve"> I131 - (F131 * H131)</f>
        <v>16019.25</v>
      </c>
      <c r="K131">
        <v>23</v>
      </c>
    </row>
    <row r="132" spans="1:11" x14ac:dyDescent="0.25">
      <c r="A132">
        <v>151</v>
      </c>
      <c r="B132" t="s">
        <v>159</v>
      </c>
      <c r="C132" s="2">
        <v>44941</v>
      </c>
      <c r="D132" t="s">
        <v>36</v>
      </c>
      <c r="E132" t="s">
        <v>16</v>
      </c>
      <c r="F132">
        <v>113</v>
      </c>
      <c r="G132">
        <v>89.53</v>
      </c>
      <c r="H132">
        <v>64.8</v>
      </c>
      <c r="I132">
        <f t="shared" si="4"/>
        <v>10116.89</v>
      </c>
      <c r="J132">
        <f t="shared" si="5"/>
        <v>2794.49</v>
      </c>
      <c r="K132">
        <v>19</v>
      </c>
    </row>
    <row r="133" spans="1:11" x14ac:dyDescent="0.25">
      <c r="A133">
        <v>152</v>
      </c>
      <c r="B133" t="s">
        <v>160</v>
      </c>
      <c r="C133" s="2">
        <v>45025</v>
      </c>
      <c r="D133" t="s">
        <v>23</v>
      </c>
      <c r="E133" t="s">
        <v>33</v>
      </c>
      <c r="F133">
        <v>108</v>
      </c>
      <c r="G133">
        <v>32.86</v>
      </c>
      <c r="H133">
        <v>28.98</v>
      </c>
      <c r="I133">
        <f t="shared" si="4"/>
        <v>3548.88</v>
      </c>
      <c r="J133">
        <f t="shared" si="5"/>
        <v>419.03999999999996</v>
      </c>
      <c r="K133">
        <v>62</v>
      </c>
    </row>
    <row r="134" spans="1:11" x14ac:dyDescent="0.25">
      <c r="A134">
        <v>155</v>
      </c>
      <c r="B134" t="s">
        <v>161</v>
      </c>
      <c r="C134" s="2">
        <v>44930</v>
      </c>
      <c r="D134" t="s">
        <v>12</v>
      </c>
      <c r="E134" t="s">
        <v>18</v>
      </c>
      <c r="F134">
        <v>162</v>
      </c>
      <c r="G134">
        <v>196.74</v>
      </c>
      <c r="H134">
        <v>163.81</v>
      </c>
      <c r="I134">
        <f t="shared" si="4"/>
        <v>31871.88</v>
      </c>
      <c r="J134">
        <f t="shared" si="5"/>
        <v>5334.66</v>
      </c>
      <c r="K134">
        <v>46</v>
      </c>
    </row>
    <row r="135" spans="1:11" x14ac:dyDescent="0.25">
      <c r="A135">
        <v>156</v>
      </c>
      <c r="B135" t="s">
        <v>162</v>
      </c>
      <c r="C135" s="2">
        <v>45009</v>
      </c>
      <c r="D135" t="s">
        <v>12</v>
      </c>
      <c r="E135" t="s">
        <v>16</v>
      </c>
      <c r="F135">
        <v>187</v>
      </c>
      <c r="G135">
        <v>12.82</v>
      </c>
      <c r="H135">
        <v>10.85</v>
      </c>
      <c r="I135">
        <f t="shared" si="4"/>
        <v>2397.34</v>
      </c>
      <c r="J135">
        <f t="shared" si="5"/>
        <v>368.3900000000001</v>
      </c>
      <c r="K135">
        <v>45</v>
      </c>
    </row>
    <row r="136" spans="1:11" x14ac:dyDescent="0.25">
      <c r="A136">
        <v>157</v>
      </c>
      <c r="B136" t="s">
        <v>163</v>
      </c>
      <c r="C136" s="2">
        <v>45078</v>
      </c>
      <c r="D136" t="s">
        <v>36</v>
      </c>
      <c r="E136" t="s">
        <v>33</v>
      </c>
      <c r="F136">
        <v>378</v>
      </c>
      <c r="G136">
        <v>263.83</v>
      </c>
      <c r="H136">
        <v>222.47</v>
      </c>
      <c r="I136">
        <f t="shared" si="4"/>
        <v>99727.739999999991</v>
      </c>
      <c r="J136">
        <f t="shared" si="5"/>
        <v>15634.079999999987</v>
      </c>
      <c r="K136">
        <v>61</v>
      </c>
    </row>
    <row r="137" spans="1:11" x14ac:dyDescent="0.25">
      <c r="A137">
        <v>158</v>
      </c>
      <c r="B137" t="s">
        <v>164</v>
      </c>
      <c r="C137" s="2">
        <v>45079</v>
      </c>
      <c r="D137" t="s">
        <v>12</v>
      </c>
      <c r="E137" t="s">
        <v>33</v>
      </c>
      <c r="F137">
        <v>11</v>
      </c>
      <c r="G137">
        <v>223.53</v>
      </c>
      <c r="H137">
        <v>79.3</v>
      </c>
      <c r="I137">
        <f t="shared" si="4"/>
        <v>2458.83</v>
      </c>
      <c r="J137">
        <f t="shared" si="5"/>
        <v>1586.53</v>
      </c>
      <c r="K137">
        <v>22</v>
      </c>
    </row>
    <row r="138" spans="1:11" x14ac:dyDescent="0.25">
      <c r="A138">
        <v>159</v>
      </c>
      <c r="B138" t="s">
        <v>165</v>
      </c>
      <c r="C138" s="2">
        <v>45080</v>
      </c>
      <c r="D138" t="s">
        <v>15</v>
      </c>
      <c r="E138" t="s">
        <v>33</v>
      </c>
      <c r="F138">
        <v>394</v>
      </c>
      <c r="G138">
        <v>210.62</v>
      </c>
      <c r="H138">
        <v>103.54</v>
      </c>
      <c r="I138">
        <f t="shared" si="4"/>
        <v>82984.28</v>
      </c>
      <c r="J138">
        <f t="shared" si="5"/>
        <v>42189.52</v>
      </c>
      <c r="K138">
        <v>47</v>
      </c>
    </row>
    <row r="139" spans="1:11" x14ac:dyDescent="0.25">
      <c r="A139">
        <v>160</v>
      </c>
      <c r="B139" t="s">
        <v>166</v>
      </c>
      <c r="C139" s="2">
        <v>45081</v>
      </c>
      <c r="D139" t="s">
        <v>12</v>
      </c>
      <c r="E139" t="s">
        <v>16</v>
      </c>
      <c r="F139">
        <v>313</v>
      </c>
      <c r="G139">
        <v>212.23</v>
      </c>
      <c r="H139">
        <v>184.65</v>
      </c>
      <c r="I139">
        <f t="shared" si="4"/>
        <v>66427.989999999991</v>
      </c>
      <c r="J139">
        <f t="shared" si="5"/>
        <v>8632.5399999999863</v>
      </c>
      <c r="K139">
        <v>47</v>
      </c>
    </row>
    <row r="140" spans="1:11" x14ac:dyDescent="0.25">
      <c r="A140">
        <v>161</v>
      </c>
      <c r="B140" t="s">
        <v>167</v>
      </c>
      <c r="C140" s="2">
        <v>45082</v>
      </c>
      <c r="D140" t="s">
        <v>12</v>
      </c>
      <c r="E140" t="s">
        <v>16</v>
      </c>
      <c r="F140">
        <v>263</v>
      </c>
      <c r="G140">
        <v>111.05</v>
      </c>
      <c r="H140">
        <v>96.65</v>
      </c>
      <c r="I140">
        <f t="shared" si="4"/>
        <v>29206.149999999998</v>
      </c>
      <c r="J140">
        <f t="shared" si="5"/>
        <v>3787.1999999999971</v>
      </c>
      <c r="K140">
        <v>34</v>
      </c>
    </row>
    <row r="141" spans="1:11" x14ac:dyDescent="0.25">
      <c r="A141">
        <v>162</v>
      </c>
      <c r="B141" t="s">
        <v>168</v>
      </c>
      <c r="C141" s="2">
        <v>45083</v>
      </c>
      <c r="D141" t="s">
        <v>23</v>
      </c>
      <c r="E141" t="s">
        <v>13</v>
      </c>
      <c r="F141">
        <v>149</v>
      </c>
      <c r="G141">
        <v>91.61</v>
      </c>
      <c r="H141">
        <v>59</v>
      </c>
      <c r="I141">
        <f t="shared" si="4"/>
        <v>13649.89</v>
      </c>
      <c r="J141">
        <f t="shared" si="5"/>
        <v>4858.8899999999994</v>
      </c>
      <c r="K141">
        <v>65</v>
      </c>
    </row>
    <row r="142" spans="1:11" x14ac:dyDescent="0.25">
      <c r="A142">
        <v>163</v>
      </c>
      <c r="B142" t="s">
        <v>169</v>
      </c>
      <c r="C142" s="2">
        <v>45084</v>
      </c>
      <c r="D142" t="s">
        <v>15</v>
      </c>
      <c r="E142" t="s">
        <v>33</v>
      </c>
      <c r="F142">
        <v>462</v>
      </c>
      <c r="G142">
        <v>243.76</v>
      </c>
      <c r="H142">
        <v>165.54</v>
      </c>
      <c r="I142">
        <f t="shared" si="4"/>
        <v>112617.12</v>
      </c>
      <c r="J142">
        <f t="shared" si="5"/>
        <v>36137.64</v>
      </c>
      <c r="K142">
        <v>64</v>
      </c>
    </row>
    <row r="143" spans="1:11" x14ac:dyDescent="0.25">
      <c r="A143">
        <v>164</v>
      </c>
      <c r="B143" t="s">
        <v>170</v>
      </c>
      <c r="C143" s="2">
        <v>45085</v>
      </c>
      <c r="D143" t="s">
        <v>15</v>
      </c>
      <c r="E143" t="s">
        <v>16</v>
      </c>
      <c r="F143">
        <v>46</v>
      </c>
      <c r="G143">
        <v>243.98</v>
      </c>
      <c r="H143">
        <v>138.84</v>
      </c>
      <c r="I143">
        <f t="shared" si="4"/>
        <v>11223.08</v>
      </c>
      <c r="J143">
        <f t="shared" si="5"/>
        <v>4836.4399999999996</v>
      </c>
      <c r="K143">
        <v>40</v>
      </c>
    </row>
    <row r="144" spans="1:11" x14ac:dyDescent="0.25">
      <c r="A144">
        <v>165</v>
      </c>
      <c r="B144" t="s">
        <v>171</v>
      </c>
      <c r="C144" s="2">
        <v>45086</v>
      </c>
      <c r="D144" t="s">
        <v>15</v>
      </c>
      <c r="E144" t="s">
        <v>13</v>
      </c>
      <c r="F144">
        <v>169</v>
      </c>
      <c r="G144">
        <v>260.79000000000002</v>
      </c>
      <c r="H144">
        <v>124.12</v>
      </c>
      <c r="I144">
        <f t="shared" si="4"/>
        <v>44073.51</v>
      </c>
      <c r="J144">
        <f t="shared" si="5"/>
        <v>23097.23</v>
      </c>
      <c r="K144">
        <v>32</v>
      </c>
    </row>
    <row r="145" spans="1:11" x14ac:dyDescent="0.25">
      <c r="A145">
        <v>166</v>
      </c>
      <c r="B145" t="s">
        <v>172</v>
      </c>
      <c r="C145" s="2">
        <v>45087</v>
      </c>
      <c r="D145" t="s">
        <v>12</v>
      </c>
      <c r="E145" t="s">
        <v>33</v>
      </c>
      <c r="F145">
        <v>18</v>
      </c>
      <c r="G145">
        <v>274.41000000000003</v>
      </c>
      <c r="H145">
        <v>136.44</v>
      </c>
      <c r="I145">
        <f t="shared" si="4"/>
        <v>4939.38</v>
      </c>
      <c r="J145">
        <f t="shared" si="5"/>
        <v>2483.46</v>
      </c>
      <c r="K145">
        <v>54</v>
      </c>
    </row>
    <row r="146" spans="1:11" x14ac:dyDescent="0.25">
      <c r="A146">
        <v>167</v>
      </c>
      <c r="B146" t="s">
        <v>173</v>
      </c>
      <c r="C146" s="2">
        <v>45088</v>
      </c>
      <c r="D146" t="s">
        <v>36</v>
      </c>
      <c r="E146" t="s">
        <v>18</v>
      </c>
      <c r="F146">
        <v>242</v>
      </c>
      <c r="G146">
        <v>155.85</v>
      </c>
      <c r="H146">
        <v>109.64</v>
      </c>
      <c r="I146">
        <f t="shared" si="4"/>
        <v>37715.699999999997</v>
      </c>
      <c r="J146">
        <f t="shared" si="5"/>
        <v>11182.819999999996</v>
      </c>
      <c r="K146">
        <v>38</v>
      </c>
    </row>
    <row r="147" spans="1:11" x14ac:dyDescent="0.25">
      <c r="A147">
        <v>168</v>
      </c>
      <c r="B147" t="s">
        <v>174</v>
      </c>
      <c r="C147" s="2">
        <v>45089</v>
      </c>
      <c r="D147" t="s">
        <v>15</v>
      </c>
      <c r="E147" t="s">
        <v>13</v>
      </c>
      <c r="F147">
        <v>108</v>
      </c>
      <c r="G147">
        <v>152.94999999999999</v>
      </c>
      <c r="H147">
        <v>114.93</v>
      </c>
      <c r="I147">
        <f t="shared" si="4"/>
        <v>16518.599999999999</v>
      </c>
      <c r="J147">
        <f t="shared" si="5"/>
        <v>4106.159999999998</v>
      </c>
      <c r="K147">
        <v>31</v>
      </c>
    </row>
    <row r="148" spans="1:11" x14ac:dyDescent="0.25">
      <c r="A148">
        <v>169</v>
      </c>
      <c r="B148" t="s">
        <v>175</v>
      </c>
      <c r="C148" s="2">
        <v>45090</v>
      </c>
      <c r="D148" t="s">
        <v>12</v>
      </c>
      <c r="E148" t="s">
        <v>16</v>
      </c>
      <c r="F148">
        <v>156</v>
      </c>
      <c r="G148">
        <v>240.5</v>
      </c>
      <c r="H148">
        <v>186.37</v>
      </c>
      <c r="I148">
        <f t="shared" si="4"/>
        <v>37518</v>
      </c>
      <c r="J148">
        <f t="shared" si="5"/>
        <v>8444.2799999999988</v>
      </c>
      <c r="K148">
        <v>19</v>
      </c>
    </row>
    <row r="149" spans="1:11" x14ac:dyDescent="0.25">
      <c r="A149">
        <v>170</v>
      </c>
      <c r="B149" t="s">
        <v>176</v>
      </c>
      <c r="C149" s="2">
        <v>45091</v>
      </c>
      <c r="D149" t="s">
        <v>23</v>
      </c>
      <c r="E149" t="s">
        <v>18</v>
      </c>
      <c r="F149">
        <v>313</v>
      </c>
      <c r="G149">
        <v>196.74</v>
      </c>
      <c r="H149">
        <v>152.22999999999999</v>
      </c>
      <c r="I149">
        <f t="shared" si="4"/>
        <v>61579.62</v>
      </c>
      <c r="J149">
        <f t="shared" si="5"/>
        <v>13931.630000000005</v>
      </c>
      <c r="K149">
        <v>28</v>
      </c>
    </row>
    <row r="150" spans="1:11" x14ac:dyDescent="0.25">
      <c r="A150">
        <v>171</v>
      </c>
      <c r="B150" t="s">
        <v>177</v>
      </c>
      <c r="C150" s="2">
        <v>45092</v>
      </c>
      <c r="D150" t="s">
        <v>36</v>
      </c>
      <c r="E150" t="s">
        <v>18</v>
      </c>
      <c r="F150">
        <v>217</v>
      </c>
      <c r="G150">
        <v>212.08</v>
      </c>
      <c r="H150">
        <v>75.23</v>
      </c>
      <c r="I150">
        <f t="shared" si="4"/>
        <v>46021.36</v>
      </c>
      <c r="J150">
        <f t="shared" si="5"/>
        <v>29696.449999999997</v>
      </c>
      <c r="K150">
        <v>68</v>
      </c>
    </row>
    <row r="151" spans="1:11" x14ac:dyDescent="0.25">
      <c r="A151">
        <v>172</v>
      </c>
      <c r="B151" t="s">
        <v>178</v>
      </c>
      <c r="C151" s="2">
        <v>45093</v>
      </c>
      <c r="D151" t="s">
        <v>23</v>
      </c>
      <c r="E151" t="s">
        <v>18</v>
      </c>
      <c r="F151">
        <v>140</v>
      </c>
      <c r="G151">
        <v>239.76</v>
      </c>
      <c r="H151">
        <v>143.05000000000001</v>
      </c>
      <c r="I151">
        <f t="shared" si="4"/>
        <v>33566.400000000001</v>
      </c>
      <c r="J151">
        <f t="shared" si="5"/>
        <v>13539.400000000001</v>
      </c>
      <c r="K151">
        <v>56</v>
      </c>
    </row>
    <row r="152" spans="1:11" x14ac:dyDescent="0.25">
      <c r="A152">
        <v>173</v>
      </c>
      <c r="B152" t="s">
        <v>179</v>
      </c>
      <c r="C152" s="2">
        <v>45094</v>
      </c>
      <c r="D152" t="s">
        <v>36</v>
      </c>
      <c r="E152" t="s">
        <v>13</v>
      </c>
      <c r="F152">
        <v>413</v>
      </c>
      <c r="G152">
        <v>267.55</v>
      </c>
      <c r="H152">
        <v>89.5</v>
      </c>
      <c r="I152">
        <f t="shared" si="4"/>
        <v>110498.15000000001</v>
      </c>
      <c r="J152">
        <f t="shared" si="5"/>
        <v>73534.650000000009</v>
      </c>
      <c r="K152">
        <v>55</v>
      </c>
    </row>
    <row r="153" spans="1:11" x14ac:dyDescent="0.25">
      <c r="A153">
        <v>174</v>
      </c>
      <c r="B153" t="s">
        <v>180</v>
      </c>
      <c r="C153" s="2">
        <v>45095</v>
      </c>
      <c r="D153" t="s">
        <v>12</v>
      </c>
      <c r="E153" t="s">
        <v>16</v>
      </c>
      <c r="F153">
        <v>161</v>
      </c>
      <c r="G153">
        <v>104.71</v>
      </c>
      <c r="H153">
        <v>65.94</v>
      </c>
      <c r="I153">
        <f t="shared" si="4"/>
        <v>16858.309999999998</v>
      </c>
      <c r="J153">
        <f t="shared" si="5"/>
        <v>6241.9699999999975</v>
      </c>
      <c r="K153">
        <v>51</v>
      </c>
    </row>
    <row r="154" spans="1:11" x14ac:dyDescent="0.25">
      <c r="A154">
        <v>175</v>
      </c>
      <c r="B154" t="s">
        <v>181</v>
      </c>
      <c r="C154" s="2">
        <v>45096</v>
      </c>
      <c r="D154" t="s">
        <v>45</v>
      </c>
      <c r="E154" t="s">
        <v>18</v>
      </c>
      <c r="F154">
        <v>63</v>
      </c>
      <c r="G154">
        <v>115.8</v>
      </c>
      <c r="H154">
        <v>65.42</v>
      </c>
      <c r="I154">
        <f t="shared" si="4"/>
        <v>7295.4</v>
      </c>
      <c r="J154">
        <f t="shared" si="5"/>
        <v>3173.9399999999996</v>
      </c>
      <c r="K154">
        <v>55</v>
      </c>
    </row>
    <row r="155" spans="1:11" x14ac:dyDescent="0.25">
      <c r="A155">
        <v>176</v>
      </c>
      <c r="B155" t="s">
        <v>182</v>
      </c>
      <c r="C155" s="2">
        <v>45097</v>
      </c>
      <c r="D155" t="s">
        <v>36</v>
      </c>
      <c r="E155" t="s">
        <v>33</v>
      </c>
      <c r="F155">
        <v>129</v>
      </c>
      <c r="G155">
        <v>32.72</v>
      </c>
      <c r="H155">
        <v>27.24</v>
      </c>
      <c r="I155">
        <f t="shared" si="4"/>
        <v>4220.88</v>
      </c>
      <c r="J155">
        <f t="shared" si="5"/>
        <v>706.92000000000053</v>
      </c>
      <c r="K155">
        <v>67</v>
      </c>
    </row>
    <row r="156" spans="1:11" x14ac:dyDescent="0.25">
      <c r="A156">
        <v>177</v>
      </c>
      <c r="B156" t="s">
        <v>183</v>
      </c>
      <c r="C156" s="2">
        <v>45098</v>
      </c>
      <c r="D156" t="s">
        <v>23</v>
      </c>
      <c r="E156" t="s">
        <v>18</v>
      </c>
      <c r="F156">
        <v>170</v>
      </c>
      <c r="G156">
        <v>175.59</v>
      </c>
      <c r="H156">
        <v>89.65</v>
      </c>
      <c r="I156">
        <f t="shared" si="4"/>
        <v>29850.3</v>
      </c>
      <c r="J156">
        <f t="shared" si="5"/>
        <v>14609.799999999997</v>
      </c>
      <c r="K156">
        <v>51</v>
      </c>
    </row>
    <row r="157" spans="1:11" x14ac:dyDescent="0.25">
      <c r="A157">
        <v>178</v>
      </c>
      <c r="B157" t="s">
        <v>184</v>
      </c>
      <c r="C157" s="2">
        <v>45099</v>
      </c>
      <c r="D157" t="s">
        <v>12</v>
      </c>
      <c r="E157" t="s">
        <v>18</v>
      </c>
      <c r="F157">
        <v>417</v>
      </c>
      <c r="G157">
        <v>15.6</v>
      </c>
      <c r="H157">
        <v>5.78</v>
      </c>
      <c r="I157">
        <f t="shared" si="4"/>
        <v>6505.2</v>
      </c>
      <c r="J157">
        <f t="shared" si="5"/>
        <v>4094.9399999999996</v>
      </c>
      <c r="K157">
        <v>35</v>
      </c>
    </row>
    <row r="158" spans="1:11" x14ac:dyDescent="0.25">
      <c r="A158">
        <v>179</v>
      </c>
      <c r="B158" t="s">
        <v>185</v>
      </c>
      <c r="C158" s="2">
        <v>45100</v>
      </c>
      <c r="D158" t="s">
        <v>36</v>
      </c>
      <c r="E158" t="s">
        <v>13</v>
      </c>
      <c r="F158">
        <v>125</v>
      </c>
      <c r="G158">
        <v>142.35</v>
      </c>
      <c r="H158">
        <v>54.92</v>
      </c>
      <c r="I158">
        <f t="shared" si="4"/>
        <v>17793.75</v>
      </c>
      <c r="J158">
        <f t="shared" si="5"/>
        <v>10928.75</v>
      </c>
      <c r="K158">
        <v>47</v>
      </c>
    </row>
    <row r="159" spans="1:11" x14ac:dyDescent="0.25">
      <c r="A159">
        <v>180</v>
      </c>
      <c r="B159" t="s">
        <v>186</v>
      </c>
      <c r="C159" s="2">
        <v>45101</v>
      </c>
      <c r="D159" t="s">
        <v>45</v>
      </c>
      <c r="E159" t="s">
        <v>13</v>
      </c>
      <c r="F159">
        <v>84</v>
      </c>
      <c r="G159">
        <v>165.08</v>
      </c>
      <c r="H159">
        <v>124.95</v>
      </c>
      <c r="I159">
        <f t="shared" si="4"/>
        <v>13866.720000000001</v>
      </c>
      <c r="J159">
        <f t="shared" si="5"/>
        <v>3370.92</v>
      </c>
      <c r="K159">
        <v>32</v>
      </c>
    </row>
    <row r="160" spans="1:11" x14ac:dyDescent="0.25">
      <c r="A160">
        <v>181</v>
      </c>
      <c r="B160" t="s">
        <v>187</v>
      </c>
      <c r="C160" s="2">
        <v>45102</v>
      </c>
      <c r="D160" t="s">
        <v>45</v>
      </c>
      <c r="E160" t="s">
        <v>16</v>
      </c>
      <c r="F160">
        <v>122</v>
      </c>
      <c r="G160">
        <v>89.53</v>
      </c>
      <c r="H160">
        <v>60.07</v>
      </c>
      <c r="I160">
        <f t="shared" si="4"/>
        <v>10922.66</v>
      </c>
      <c r="J160">
        <f t="shared" si="5"/>
        <v>3594.12</v>
      </c>
      <c r="K160">
        <v>44</v>
      </c>
    </row>
    <row r="161" spans="1:11" x14ac:dyDescent="0.25">
      <c r="A161">
        <v>182</v>
      </c>
      <c r="B161" t="s">
        <v>188</v>
      </c>
      <c r="C161" s="2">
        <v>45103</v>
      </c>
      <c r="D161" t="s">
        <v>15</v>
      </c>
      <c r="E161" t="s">
        <v>33</v>
      </c>
      <c r="F161">
        <v>465</v>
      </c>
      <c r="G161">
        <v>179.3</v>
      </c>
      <c r="H161">
        <v>64.67</v>
      </c>
      <c r="I161">
        <f t="shared" si="4"/>
        <v>83374.5</v>
      </c>
      <c r="J161">
        <f t="shared" si="5"/>
        <v>53302.95</v>
      </c>
      <c r="K161">
        <v>68</v>
      </c>
    </row>
    <row r="162" spans="1:11" x14ac:dyDescent="0.25">
      <c r="A162">
        <v>183</v>
      </c>
      <c r="B162" t="s">
        <v>189</v>
      </c>
      <c r="C162" s="2">
        <v>45104</v>
      </c>
      <c r="D162" t="s">
        <v>15</v>
      </c>
      <c r="E162" t="s">
        <v>13</v>
      </c>
      <c r="F162">
        <v>429</v>
      </c>
      <c r="G162">
        <v>14</v>
      </c>
      <c r="H162">
        <v>4.91</v>
      </c>
      <c r="I162">
        <f t="shared" si="4"/>
        <v>6006</v>
      </c>
      <c r="J162">
        <f t="shared" si="5"/>
        <v>3899.61</v>
      </c>
      <c r="K162">
        <v>51</v>
      </c>
    </row>
    <row r="163" spans="1:11" x14ac:dyDescent="0.25">
      <c r="A163">
        <v>184</v>
      </c>
      <c r="B163" t="s">
        <v>190</v>
      </c>
      <c r="C163" s="2">
        <v>45105</v>
      </c>
      <c r="D163" t="s">
        <v>23</v>
      </c>
      <c r="E163" t="s">
        <v>18</v>
      </c>
      <c r="F163">
        <v>431</v>
      </c>
      <c r="G163">
        <v>16.02</v>
      </c>
      <c r="H163">
        <v>11.54</v>
      </c>
      <c r="I163">
        <f t="shared" si="4"/>
        <v>6904.62</v>
      </c>
      <c r="J163">
        <f t="shared" si="5"/>
        <v>1930.88</v>
      </c>
      <c r="K163">
        <v>69</v>
      </c>
    </row>
    <row r="164" spans="1:11" x14ac:dyDescent="0.25">
      <c r="A164">
        <v>185</v>
      </c>
      <c r="B164" t="s">
        <v>191</v>
      </c>
      <c r="C164" s="2">
        <v>45106</v>
      </c>
      <c r="D164" t="s">
        <v>36</v>
      </c>
      <c r="E164" t="s">
        <v>16</v>
      </c>
      <c r="F164">
        <v>113</v>
      </c>
      <c r="G164">
        <v>247.67</v>
      </c>
      <c r="H164">
        <v>85.11</v>
      </c>
      <c r="I164">
        <f t="shared" si="4"/>
        <v>27986.71</v>
      </c>
      <c r="J164">
        <f t="shared" si="5"/>
        <v>18369.28</v>
      </c>
      <c r="K164">
        <v>55</v>
      </c>
    </row>
    <row r="165" spans="1:11" x14ac:dyDescent="0.25">
      <c r="A165">
        <v>186</v>
      </c>
      <c r="B165" t="s">
        <v>192</v>
      </c>
      <c r="C165" s="2">
        <v>45107</v>
      </c>
      <c r="D165" t="s">
        <v>36</v>
      </c>
      <c r="E165" t="s">
        <v>18</v>
      </c>
      <c r="F165">
        <v>349</v>
      </c>
      <c r="G165">
        <v>111.26</v>
      </c>
      <c r="H165">
        <v>88.24</v>
      </c>
      <c r="I165">
        <f t="shared" si="4"/>
        <v>38829.740000000005</v>
      </c>
      <c r="J165">
        <f t="shared" si="5"/>
        <v>8033.9800000000068</v>
      </c>
      <c r="K165">
        <v>50</v>
      </c>
    </row>
    <row r="166" spans="1:11" x14ac:dyDescent="0.25">
      <c r="A166">
        <v>187</v>
      </c>
      <c r="B166" t="s">
        <v>193</v>
      </c>
      <c r="C166" s="2">
        <v>45108</v>
      </c>
      <c r="D166" t="s">
        <v>15</v>
      </c>
      <c r="E166" t="s">
        <v>18</v>
      </c>
      <c r="F166">
        <v>263</v>
      </c>
      <c r="G166">
        <v>42.48</v>
      </c>
      <c r="H166">
        <v>30.74</v>
      </c>
      <c r="I166">
        <f t="shared" si="4"/>
        <v>11172.24</v>
      </c>
      <c r="J166">
        <f t="shared" si="5"/>
        <v>3087.62</v>
      </c>
      <c r="K166">
        <v>41</v>
      </c>
    </row>
    <row r="167" spans="1:11" x14ac:dyDescent="0.25">
      <c r="A167">
        <v>188</v>
      </c>
      <c r="B167" t="s">
        <v>194</v>
      </c>
      <c r="C167" s="2">
        <v>45109</v>
      </c>
      <c r="D167" t="s">
        <v>36</v>
      </c>
      <c r="E167" t="s">
        <v>13</v>
      </c>
      <c r="F167">
        <v>236</v>
      </c>
      <c r="G167">
        <v>159.06</v>
      </c>
      <c r="H167">
        <v>55.48</v>
      </c>
      <c r="I167">
        <f t="shared" si="4"/>
        <v>37538.160000000003</v>
      </c>
      <c r="J167">
        <f t="shared" si="5"/>
        <v>24444.880000000005</v>
      </c>
      <c r="K167">
        <v>32</v>
      </c>
    </row>
    <row r="168" spans="1:11" x14ac:dyDescent="0.25">
      <c r="A168">
        <v>189</v>
      </c>
      <c r="B168" t="s">
        <v>195</v>
      </c>
      <c r="C168" s="2">
        <v>45110</v>
      </c>
      <c r="D168" t="s">
        <v>36</v>
      </c>
      <c r="E168" t="s">
        <v>16</v>
      </c>
      <c r="F168">
        <v>121</v>
      </c>
      <c r="G168">
        <v>232.15</v>
      </c>
      <c r="H168">
        <v>81.459999999999994</v>
      </c>
      <c r="I168">
        <f t="shared" si="4"/>
        <v>28090.15</v>
      </c>
      <c r="J168">
        <f t="shared" si="5"/>
        <v>18233.490000000002</v>
      </c>
      <c r="K168">
        <v>47</v>
      </c>
    </row>
    <row r="169" spans="1:11" x14ac:dyDescent="0.25">
      <c r="A169">
        <v>190</v>
      </c>
      <c r="B169" t="s">
        <v>196</v>
      </c>
      <c r="C169" s="2">
        <v>45111</v>
      </c>
      <c r="D169" t="s">
        <v>45</v>
      </c>
      <c r="E169" t="s">
        <v>33</v>
      </c>
      <c r="F169">
        <v>482</v>
      </c>
      <c r="G169">
        <v>68.67</v>
      </c>
      <c r="H169">
        <v>61.25</v>
      </c>
      <c r="I169">
        <f t="shared" si="4"/>
        <v>33098.94</v>
      </c>
      <c r="J169">
        <f t="shared" si="5"/>
        <v>3576.4400000000023</v>
      </c>
      <c r="K169">
        <v>59</v>
      </c>
    </row>
    <row r="170" spans="1:11" x14ac:dyDescent="0.25">
      <c r="A170">
        <v>191</v>
      </c>
      <c r="B170" t="s">
        <v>197</v>
      </c>
      <c r="C170" s="2">
        <v>45112</v>
      </c>
      <c r="D170" t="s">
        <v>15</v>
      </c>
      <c r="E170" t="s">
        <v>33</v>
      </c>
      <c r="F170">
        <v>108</v>
      </c>
      <c r="G170">
        <v>188.75</v>
      </c>
      <c r="H170">
        <v>99.01</v>
      </c>
      <c r="I170">
        <f t="shared" si="4"/>
        <v>20385</v>
      </c>
      <c r="J170">
        <f t="shared" si="5"/>
        <v>9691.92</v>
      </c>
      <c r="K170">
        <v>68</v>
      </c>
    </row>
    <row r="171" spans="1:11" x14ac:dyDescent="0.25">
      <c r="A171">
        <v>192</v>
      </c>
      <c r="B171" t="s">
        <v>198</v>
      </c>
      <c r="C171" s="2">
        <v>45113</v>
      </c>
      <c r="D171" t="s">
        <v>12</v>
      </c>
      <c r="E171" t="s">
        <v>13</v>
      </c>
      <c r="F171">
        <v>162</v>
      </c>
      <c r="G171">
        <v>30.18</v>
      </c>
      <c r="H171">
        <v>15.77</v>
      </c>
      <c r="I171">
        <f t="shared" si="4"/>
        <v>4889.16</v>
      </c>
      <c r="J171">
        <f t="shared" si="5"/>
        <v>2334.42</v>
      </c>
      <c r="K171">
        <v>34</v>
      </c>
    </row>
    <row r="172" spans="1:11" x14ac:dyDescent="0.25">
      <c r="A172">
        <v>193</v>
      </c>
      <c r="B172" t="s">
        <v>199</v>
      </c>
      <c r="C172" s="2">
        <v>45114</v>
      </c>
      <c r="D172" t="s">
        <v>15</v>
      </c>
      <c r="E172" t="s">
        <v>13</v>
      </c>
      <c r="F172">
        <v>358</v>
      </c>
      <c r="G172">
        <v>20.25</v>
      </c>
      <c r="H172">
        <v>15.95</v>
      </c>
      <c r="I172">
        <f t="shared" si="4"/>
        <v>7249.5</v>
      </c>
      <c r="J172">
        <f t="shared" si="5"/>
        <v>1539.4000000000005</v>
      </c>
      <c r="K172">
        <v>22</v>
      </c>
    </row>
    <row r="173" spans="1:11" x14ac:dyDescent="0.25">
      <c r="A173">
        <v>194</v>
      </c>
      <c r="B173" t="s">
        <v>200</v>
      </c>
      <c r="C173" s="2">
        <v>45115</v>
      </c>
      <c r="D173" t="s">
        <v>12</v>
      </c>
      <c r="E173" t="s">
        <v>16</v>
      </c>
      <c r="F173">
        <v>411</v>
      </c>
      <c r="G173">
        <v>161.75</v>
      </c>
      <c r="H173">
        <v>140.46</v>
      </c>
      <c r="I173">
        <f t="shared" si="4"/>
        <v>66479.25</v>
      </c>
      <c r="J173">
        <f t="shared" si="5"/>
        <v>8750.1899999999951</v>
      </c>
      <c r="K173">
        <v>46</v>
      </c>
    </row>
    <row r="174" spans="1:11" x14ac:dyDescent="0.25">
      <c r="A174">
        <v>195</v>
      </c>
      <c r="B174" t="s">
        <v>201</v>
      </c>
      <c r="C174" s="2">
        <v>45116</v>
      </c>
      <c r="D174" t="s">
        <v>45</v>
      </c>
      <c r="E174" t="s">
        <v>33</v>
      </c>
      <c r="F174">
        <v>393</v>
      </c>
      <c r="G174">
        <v>164.49</v>
      </c>
      <c r="H174">
        <v>146.66</v>
      </c>
      <c r="I174">
        <f t="shared" si="4"/>
        <v>64644.570000000007</v>
      </c>
      <c r="J174">
        <f t="shared" si="5"/>
        <v>7007.1900000000096</v>
      </c>
      <c r="K174">
        <v>21</v>
      </c>
    </row>
    <row r="175" spans="1:11" x14ac:dyDescent="0.25">
      <c r="A175">
        <v>196</v>
      </c>
      <c r="B175" t="s">
        <v>202</v>
      </c>
      <c r="C175" s="2">
        <v>45117</v>
      </c>
      <c r="D175" t="s">
        <v>23</v>
      </c>
      <c r="E175" t="s">
        <v>33</v>
      </c>
      <c r="F175">
        <v>375</v>
      </c>
      <c r="G175">
        <v>193.04</v>
      </c>
      <c r="H175">
        <v>145.16999999999999</v>
      </c>
      <c r="I175">
        <f t="shared" si="4"/>
        <v>72390</v>
      </c>
      <c r="J175">
        <f t="shared" si="5"/>
        <v>17951.250000000007</v>
      </c>
      <c r="K175">
        <v>27</v>
      </c>
    </row>
    <row r="176" spans="1:11" x14ac:dyDescent="0.25">
      <c r="A176">
        <v>197</v>
      </c>
      <c r="B176" t="s">
        <v>203</v>
      </c>
      <c r="C176" s="2">
        <v>45118</v>
      </c>
      <c r="D176" t="s">
        <v>36</v>
      </c>
      <c r="E176" t="s">
        <v>33</v>
      </c>
      <c r="F176">
        <v>347</v>
      </c>
      <c r="G176">
        <v>219.2</v>
      </c>
      <c r="H176">
        <v>115.25</v>
      </c>
      <c r="I176">
        <f t="shared" si="4"/>
        <v>76062.399999999994</v>
      </c>
      <c r="J176">
        <f t="shared" si="5"/>
        <v>36070.649999999994</v>
      </c>
      <c r="K176">
        <v>34</v>
      </c>
    </row>
    <row r="177" spans="1:11" x14ac:dyDescent="0.25">
      <c r="A177">
        <v>198</v>
      </c>
      <c r="B177" t="s">
        <v>204</v>
      </c>
      <c r="C177" s="2">
        <v>45119</v>
      </c>
      <c r="D177" t="s">
        <v>45</v>
      </c>
      <c r="E177" t="s">
        <v>18</v>
      </c>
      <c r="F177">
        <v>203</v>
      </c>
      <c r="G177">
        <v>292.88</v>
      </c>
      <c r="H177">
        <v>102.54</v>
      </c>
      <c r="I177">
        <f t="shared" si="4"/>
        <v>59454.64</v>
      </c>
      <c r="J177">
        <f t="shared" si="5"/>
        <v>38639.019999999997</v>
      </c>
      <c r="K177">
        <v>27</v>
      </c>
    </row>
    <row r="178" spans="1:11" x14ac:dyDescent="0.25">
      <c r="A178">
        <v>199</v>
      </c>
      <c r="B178" t="s">
        <v>205</v>
      </c>
      <c r="C178" s="2">
        <v>45120</v>
      </c>
      <c r="D178" t="s">
        <v>36</v>
      </c>
      <c r="E178" t="s">
        <v>33</v>
      </c>
      <c r="F178">
        <v>319</v>
      </c>
      <c r="G178">
        <v>157.31</v>
      </c>
      <c r="H178">
        <v>120.54</v>
      </c>
      <c r="I178">
        <f t="shared" si="4"/>
        <v>50181.89</v>
      </c>
      <c r="J178">
        <f t="shared" si="5"/>
        <v>11729.629999999997</v>
      </c>
      <c r="K178">
        <v>34</v>
      </c>
    </row>
    <row r="179" spans="1:11" x14ac:dyDescent="0.25">
      <c r="A179">
        <v>200</v>
      </c>
      <c r="B179" t="s">
        <v>206</v>
      </c>
      <c r="C179" s="2">
        <v>45121</v>
      </c>
      <c r="D179" t="s">
        <v>23</v>
      </c>
      <c r="E179" t="s">
        <v>18</v>
      </c>
      <c r="F179">
        <v>172</v>
      </c>
      <c r="G179">
        <v>100.27</v>
      </c>
      <c r="H179">
        <v>63.68</v>
      </c>
      <c r="I179">
        <f t="shared" si="4"/>
        <v>17246.439999999999</v>
      </c>
      <c r="J179">
        <f t="shared" si="5"/>
        <v>6293.48</v>
      </c>
      <c r="K179">
        <v>37</v>
      </c>
    </row>
    <row r="180" spans="1:11" x14ac:dyDescent="0.25">
      <c r="A180">
        <v>201</v>
      </c>
      <c r="B180" t="s">
        <v>207</v>
      </c>
      <c r="C180" s="2">
        <v>45122</v>
      </c>
      <c r="D180" t="s">
        <v>23</v>
      </c>
      <c r="E180" t="s">
        <v>16</v>
      </c>
      <c r="F180">
        <v>217</v>
      </c>
      <c r="G180">
        <v>239.58</v>
      </c>
      <c r="H180">
        <v>132.86000000000001</v>
      </c>
      <c r="I180">
        <f t="shared" si="4"/>
        <v>51988.86</v>
      </c>
      <c r="J180">
        <f t="shared" si="5"/>
        <v>23158.239999999998</v>
      </c>
      <c r="K180">
        <v>41</v>
      </c>
    </row>
    <row r="181" spans="1:11" x14ac:dyDescent="0.25">
      <c r="A181">
        <v>202</v>
      </c>
      <c r="B181" t="s">
        <v>208</v>
      </c>
      <c r="C181" s="2">
        <v>45123</v>
      </c>
      <c r="D181" t="s">
        <v>45</v>
      </c>
      <c r="E181" t="s">
        <v>18</v>
      </c>
      <c r="F181">
        <v>454</v>
      </c>
      <c r="G181">
        <v>84.9</v>
      </c>
      <c r="H181">
        <v>71.64</v>
      </c>
      <c r="I181">
        <f t="shared" si="4"/>
        <v>38544.600000000006</v>
      </c>
      <c r="J181">
        <f t="shared" si="5"/>
        <v>6020.0400000000045</v>
      </c>
      <c r="K181">
        <v>22</v>
      </c>
    </row>
    <row r="182" spans="1:11" x14ac:dyDescent="0.25">
      <c r="A182">
        <v>203</v>
      </c>
      <c r="B182" t="s">
        <v>209</v>
      </c>
      <c r="C182" s="2">
        <v>45124</v>
      </c>
      <c r="D182" t="s">
        <v>23</v>
      </c>
      <c r="E182" t="s">
        <v>16</v>
      </c>
      <c r="F182">
        <v>178</v>
      </c>
      <c r="G182">
        <v>134.5</v>
      </c>
      <c r="H182">
        <v>49.32</v>
      </c>
      <c r="I182">
        <f t="shared" si="4"/>
        <v>23941</v>
      </c>
      <c r="J182">
        <f t="shared" si="5"/>
        <v>15162.039999999999</v>
      </c>
      <c r="K182">
        <v>51</v>
      </c>
    </row>
    <row r="183" spans="1:11" x14ac:dyDescent="0.25">
      <c r="A183">
        <v>204</v>
      </c>
      <c r="B183" t="s">
        <v>210</v>
      </c>
      <c r="C183" s="2">
        <v>45125</v>
      </c>
      <c r="D183" t="s">
        <v>12</v>
      </c>
      <c r="E183" t="s">
        <v>33</v>
      </c>
      <c r="F183">
        <v>493</v>
      </c>
      <c r="G183">
        <v>28.14</v>
      </c>
      <c r="H183">
        <v>16.760000000000002</v>
      </c>
      <c r="I183">
        <f t="shared" si="4"/>
        <v>13873.02</v>
      </c>
      <c r="J183">
        <f t="shared" si="5"/>
        <v>5610.34</v>
      </c>
      <c r="K183">
        <v>23</v>
      </c>
    </row>
    <row r="184" spans="1:11" x14ac:dyDescent="0.25">
      <c r="A184">
        <v>205</v>
      </c>
      <c r="B184" t="s">
        <v>211</v>
      </c>
      <c r="C184" s="2">
        <v>45126</v>
      </c>
      <c r="D184" t="s">
        <v>23</v>
      </c>
      <c r="E184" t="s">
        <v>33</v>
      </c>
      <c r="F184">
        <v>170</v>
      </c>
      <c r="G184">
        <v>12.48</v>
      </c>
      <c r="H184">
        <v>3.83</v>
      </c>
      <c r="I184">
        <f t="shared" si="4"/>
        <v>2121.6</v>
      </c>
      <c r="J184">
        <f t="shared" si="5"/>
        <v>1470.5</v>
      </c>
      <c r="K184">
        <v>19</v>
      </c>
    </row>
    <row r="185" spans="1:11" x14ac:dyDescent="0.25">
      <c r="A185">
        <v>206</v>
      </c>
      <c r="B185" t="s">
        <v>212</v>
      </c>
      <c r="C185" s="2">
        <v>45127</v>
      </c>
      <c r="D185" t="s">
        <v>36</v>
      </c>
      <c r="E185" t="s">
        <v>16</v>
      </c>
      <c r="F185">
        <v>77</v>
      </c>
      <c r="G185">
        <v>288.98</v>
      </c>
      <c r="H185">
        <v>167.95</v>
      </c>
      <c r="I185">
        <f t="shared" si="4"/>
        <v>22251.460000000003</v>
      </c>
      <c r="J185">
        <f t="shared" si="5"/>
        <v>9319.3100000000031</v>
      </c>
      <c r="K185">
        <v>30</v>
      </c>
    </row>
    <row r="186" spans="1:11" x14ac:dyDescent="0.25">
      <c r="A186">
        <v>207</v>
      </c>
      <c r="B186" t="s">
        <v>213</v>
      </c>
      <c r="C186" s="2">
        <v>45128</v>
      </c>
      <c r="D186" t="s">
        <v>36</v>
      </c>
      <c r="E186" t="s">
        <v>13</v>
      </c>
      <c r="F186">
        <v>298</v>
      </c>
      <c r="G186">
        <v>251.61</v>
      </c>
      <c r="H186">
        <v>83.98</v>
      </c>
      <c r="I186">
        <f t="shared" si="4"/>
        <v>74979.78</v>
      </c>
      <c r="J186">
        <f t="shared" si="5"/>
        <v>49953.74</v>
      </c>
      <c r="K186">
        <v>60</v>
      </c>
    </row>
    <row r="187" spans="1:11" x14ac:dyDescent="0.25">
      <c r="A187">
        <v>208</v>
      </c>
      <c r="B187" t="s">
        <v>214</v>
      </c>
      <c r="C187" s="2">
        <v>45129</v>
      </c>
      <c r="D187" t="s">
        <v>36</v>
      </c>
      <c r="E187" t="s">
        <v>16</v>
      </c>
      <c r="F187">
        <v>407</v>
      </c>
      <c r="G187">
        <v>210.31</v>
      </c>
      <c r="H187">
        <v>78.09</v>
      </c>
      <c r="I187">
        <f t="shared" si="4"/>
        <v>85596.17</v>
      </c>
      <c r="J187">
        <f t="shared" si="5"/>
        <v>53813.539999999994</v>
      </c>
      <c r="K187">
        <v>60</v>
      </c>
    </row>
    <row r="188" spans="1:11" x14ac:dyDescent="0.25">
      <c r="A188">
        <v>209</v>
      </c>
      <c r="B188" t="s">
        <v>215</v>
      </c>
      <c r="C188" s="2">
        <v>45130</v>
      </c>
      <c r="D188" t="s">
        <v>36</v>
      </c>
      <c r="E188" t="s">
        <v>13</v>
      </c>
      <c r="F188">
        <v>286</v>
      </c>
      <c r="G188">
        <v>125.64</v>
      </c>
      <c r="H188">
        <v>46.55</v>
      </c>
      <c r="I188">
        <f t="shared" si="4"/>
        <v>35933.040000000001</v>
      </c>
      <c r="J188">
        <f t="shared" si="5"/>
        <v>22619.74</v>
      </c>
      <c r="K188">
        <v>65</v>
      </c>
    </row>
    <row r="189" spans="1:11" x14ac:dyDescent="0.25">
      <c r="A189">
        <v>210</v>
      </c>
      <c r="B189" t="s">
        <v>216</v>
      </c>
      <c r="C189" s="2">
        <v>45131</v>
      </c>
      <c r="D189" t="s">
        <v>12</v>
      </c>
      <c r="E189" t="s">
        <v>18</v>
      </c>
      <c r="F189">
        <v>313</v>
      </c>
      <c r="G189">
        <v>56.12</v>
      </c>
      <c r="H189">
        <v>38.700000000000003</v>
      </c>
      <c r="I189">
        <f t="shared" si="4"/>
        <v>17565.559999999998</v>
      </c>
      <c r="J189">
        <f t="shared" si="5"/>
        <v>5452.4599999999973</v>
      </c>
      <c r="K189">
        <v>28</v>
      </c>
    </row>
    <row r="190" spans="1:11" x14ac:dyDescent="0.25">
      <c r="A190">
        <v>211</v>
      </c>
      <c r="B190" t="s">
        <v>217</v>
      </c>
      <c r="C190" s="2">
        <v>45132</v>
      </c>
      <c r="D190" t="s">
        <v>15</v>
      </c>
      <c r="E190" t="s">
        <v>18</v>
      </c>
      <c r="F190">
        <v>413</v>
      </c>
      <c r="G190">
        <v>51.15</v>
      </c>
      <c r="H190">
        <v>38.24</v>
      </c>
      <c r="I190">
        <f t="shared" si="4"/>
        <v>21124.95</v>
      </c>
      <c r="J190">
        <f t="shared" si="5"/>
        <v>5331.83</v>
      </c>
      <c r="K190">
        <v>68</v>
      </c>
    </row>
    <row r="191" spans="1:11" x14ac:dyDescent="0.25">
      <c r="A191">
        <v>212</v>
      </c>
      <c r="B191" t="s">
        <v>218</v>
      </c>
      <c r="C191" s="2">
        <v>45133</v>
      </c>
      <c r="D191" t="s">
        <v>45</v>
      </c>
      <c r="E191" t="s">
        <v>18</v>
      </c>
      <c r="F191">
        <v>393</v>
      </c>
      <c r="G191">
        <v>78.819999999999993</v>
      </c>
      <c r="H191">
        <v>51.23</v>
      </c>
      <c r="I191">
        <f t="shared" si="4"/>
        <v>30976.26</v>
      </c>
      <c r="J191">
        <f t="shared" si="5"/>
        <v>10842.869999999999</v>
      </c>
      <c r="K191">
        <v>64</v>
      </c>
    </row>
    <row r="192" spans="1:11" x14ac:dyDescent="0.25">
      <c r="A192">
        <v>213</v>
      </c>
      <c r="B192" t="s">
        <v>219</v>
      </c>
      <c r="C192" s="2">
        <v>45134</v>
      </c>
      <c r="D192" t="s">
        <v>36</v>
      </c>
      <c r="E192" t="s">
        <v>33</v>
      </c>
      <c r="F192">
        <v>401</v>
      </c>
      <c r="G192">
        <v>167.02</v>
      </c>
      <c r="H192">
        <v>146.53</v>
      </c>
      <c r="I192">
        <f t="shared" si="4"/>
        <v>66975.02</v>
      </c>
      <c r="J192">
        <f t="shared" si="5"/>
        <v>8216.4900000000052</v>
      </c>
      <c r="K192">
        <v>40</v>
      </c>
    </row>
    <row r="193" spans="1:11" x14ac:dyDescent="0.25">
      <c r="A193">
        <v>214</v>
      </c>
      <c r="B193" t="s">
        <v>220</v>
      </c>
      <c r="C193" s="2">
        <v>45135</v>
      </c>
      <c r="D193" t="s">
        <v>23</v>
      </c>
      <c r="E193" t="s">
        <v>18</v>
      </c>
      <c r="F193">
        <v>144</v>
      </c>
      <c r="G193">
        <v>215.81</v>
      </c>
      <c r="H193">
        <v>113.28</v>
      </c>
      <c r="I193">
        <f t="shared" si="4"/>
        <v>31076.639999999999</v>
      </c>
      <c r="J193">
        <f t="shared" si="5"/>
        <v>14764.32</v>
      </c>
      <c r="K193">
        <v>33</v>
      </c>
    </row>
    <row r="194" spans="1:11" x14ac:dyDescent="0.25">
      <c r="A194">
        <v>215</v>
      </c>
      <c r="B194" t="s">
        <v>221</v>
      </c>
      <c r="C194" s="2">
        <v>45136</v>
      </c>
      <c r="D194" t="s">
        <v>36</v>
      </c>
      <c r="E194" t="s">
        <v>13</v>
      </c>
      <c r="F194">
        <v>204</v>
      </c>
      <c r="G194">
        <v>199.76</v>
      </c>
      <c r="H194">
        <v>94.17</v>
      </c>
      <c r="I194">
        <f t="shared" si="4"/>
        <v>40751.040000000001</v>
      </c>
      <c r="J194">
        <f t="shared" si="5"/>
        <v>21540.36</v>
      </c>
      <c r="K194">
        <v>48</v>
      </c>
    </row>
    <row r="195" spans="1:11" x14ac:dyDescent="0.25">
      <c r="A195">
        <v>216</v>
      </c>
      <c r="B195" t="s">
        <v>222</v>
      </c>
      <c r="C195" s="2">
        <v>45137</v>
      </c>
      <c r="D195" t="s">
        <v>23</v>
      </c>
      <c r="E195" t="s">
        <v>18</v>
      </c>
      <c r="F195">
        <v>410</v>
      </c>
      <c r="G195">
        <v>87.58</v>
      </c>
      <c r="H195">
        <v>71.92</v>
      </c>
      <c r="I195">
        <f t="shared" ref="I195:I258" si="6">F195*G195</f>
        <v>35907.800000000003</v>
      </c>
      <c r="J195">
        <f t="shared" ref="J195:J258" si="7" xml:space="preserve"> I195 - (F195 * H195)</f>
        <v>6420.6000000000022</v>
      </c>
      <c r="K195">
        <v>28</v>
      </c>
    </row>
    <row r="196" spans="1:11" x14ac:dyDescent="0.25">
      <c r="A196">
        <v>217</v>
      </c>
      <c r="B196" t="s">
        <v>223</v>
      </c>
      <c r="C196" s="2">
        <v>45138</v>
      </c>
      <c r="D196" t="s">
        <v>23</v>
      </c>
      <c r="E196" t="s">
        <v>16</v>
      </c>
      <c r="F196">
        <v>137</v>
      </c>
      <c r="G196">
        <v>286.69</v>
      </c>
      <c r="H196">
        <v>124.47</v>
      </c>
      <c r="I196">
        <f t="shared" si="6"/>
        <v>39276.53</v>
      </c>
      <c r="J196">
        <f t="shared" si="7"/>
        <v>22224.14</v>
      </c>
      <c r="K196">
        <v>33</v>
      </c>
    </row>
    <row r="197" spans="1:11" x14ac:dyDescent="0.25">
      <c r="A197">
        <v>218</v>
      </c>
      <c r="B197" t="s">
        <v>224</v>
      </c>
      <c r="C197" s="2">
        <v>45139</v>
      </c>
      <c r="D197" t="s">
        <v>36</v>
      </c>
      <c r="E197" t="s">
        <v>16</v>
      </c>
      <c r="F197">
        <v>42</v>
      </c>
      <c r="G197">
        <v>222.68</v>
      </c>
      <c r="H197">
        <v>195.5</v>
      </c>
      <c r="I197">
        <f t="shared" si="6"/>
        <v>9352.56</v>
      </c>
      <c r="J197">
        <f t="shared" si="7"/>
        <v>1141.5599999999995</v>
      </c>
      <c r="K197">
        <v>25</v>
      </c>
    </row>
    <row r="198" spans="1:11" x14ac:dyDescent="0.25">
      <c r="A198">
        <v>219</v>
      </c>
      <c r="B198" t="s">
        <v>225</v>
      </c>
      <c r="C198" s="2">
        <v>45140</v>
      </c>
      <c r="D198" t="s">
        <v>12</v>
      </c>
      <c r="E198" t="s">
        <v>33</v>
      </c>
      <c r="F198">
        <v>185</v>
      </c>
      <c r="G198">
        <v>168.53</v>
      </c>
      <c r="H198">
        <v>51.79</v>
      </c>
      <c r="I198">
        <f t="shared" si="6"/>
        <v>31178.05</v>
      </c>
      <c r="J198">
        <f t="shared" si="7"/>
        <v>21596.9</v>
      </c>
      <c r="K198">
        <v>21</v>
      </c>
    </row>
    <row r="199" spans="1:11" x14ac:dyDescent="0.25">
      <c r="A199">
        <v>220</v>
      </c>
      <c r="B199" t="s">
        <v>226</v>
      </c>
      <c r="C199" s="2">
        <v>45141</v>
      </c>
      <c r="D199" t="s">
        <v>23</v>
      </c>
      <c r="E199" t="s">
        <v>16</v>
      </c>
      <c r="F199">
        <v>469</v>
      </c>
      <c r="G199">
        <v>185.46</v>
      </c>
      <c r="H199">
        <v>163.56</v>
      </c>
      <c r="I199">
        <f t="shared" si="6"/>
        <v>86980.74</v>
      </c>
      <c r="J199">
        <f t="shared" si="7"/>
        <v>10271.100000000006</v>
      </c>
      <c r="K199">
        <v>57</v>
      </c>
    </row>
    <row r="200" spans="1:11" x14ac:dyDescent="0.25">
      <c r="A200">
        <v>221</v>
      </c>
      <c r="B200" t="s">
        <v>227</v>
      </c>
      <c r="C200" s="2">
        <v>45142</v>
      </c>
      <c r="D200" t="s">
        <v>23</v>
      </c>
      <c r="E200" t="s">
        <v>13</v>
      </c>
      <c r="F200">
        <v>452</v>
      </c>
      <c r="G200">
        <v>128.78</v>
      </c>
      <c r="H200">
        <v>41.97</v>
      </c>
      <c r="I200">
        <f t="shared" si="6"/>
        <v>58208.56</v>
      </c>
      <c r="J200">
        <f t="shared" si="7"/>
        <v>39238.119999999995</v>
      </c>
      <c r="K200">
        <v>21</v>
      </c>
    </row>
    <row r="201" spans="1:11" x14ac:dyDescent="0.25">
      <c r="A201">
        <v>222</v>
      </c>
      <c r="B201" t="s">
        <v>228</v>
      </c>
      <c r="C201" s="2">
        <v>45143</v>
      </c>
      <c r="D201" t="s">
        <v>36</v>
      </c>
      <c r="E201" t="s">
        <v>18</v>
      </c>
      <c r="F201">
        <v>380</v>
      </c>
      <c r="G201">
        <v>78.08</v>
      </c>
      <c r="H201">
        <v>65.17</v>
      </c>
      <c r="I201">
        <f t="shared" si="6"/>
        <v>29670.399999999998</v>
      </c>
      <c r="J201">
        <f t="shared" si="7"/>
        <v>4905.7999999999956</v>
      </c>
      <c r="K201">
        <v>42</v>
      </c>
    </row>
    <row r="202" spans="1:11" x14ac:dyDescent="0.25">
      <c r="A202">
        <v>223</v>
      </c>
      <c r="B202" t="s">
        <v>229</v>
      </c>
      <c r="C202" s="2">
        <v>45144</v>
      </c>
      <c r="D202" t="s">
        <v>23</v>
      </c>
      <c r="E202" t="s">
        <v>33</v>
      </c>
      <c r="F202">
        <v>479</v>
      </c>
      <c r="G202">
        <v>110.01</v>
      </c>
      <c r="H202">
        <v>67.83</v>
      </c>
      <c r="I202">
        <f t="shared" si="6"/>
        <v>52694.79</v>
      </c>
      <c r="J202">
        <f t="shared" si="7"/>
        <v>20204.22</v>
      </c>
      <c r="K202">
        <v>20</v>
      </c>
    </row>
    <row r="203" spans="1:11" x14ac:dyDescent="0.25">
      <c r="A203">
        <v>224</v>
      </c>
      <c r="B203" t="s">
        <v>230</v>
      </c>
      <c r="C203" s="2">
        <v>45145</v>
      </c>
      <c r="D203" t="s">
        <v>23</v>
      </c>
      <c r="E203" t="s">
        <v>18</v>
      </c>
      <c r="F203">
        <v>384</v>
      </c>
      <c r="G203">
        <v>228.56</v>
      </c>
      <c r="H203">
        <v>204.74</v>
      </c>
      <c r="I203">
        <f t="shared" si="6"/>
        <v>87767.040000000008</v>
      </c>
      <c r="J203">
        <f t="shared" si="7"/>
        <v>9146.8800000000047</v>
      </c>
      <c r="K203">
        <v>49</v>
      </c>
    </row>
    <row r="204" spans="1:11" x14ac:dyDescent="0.25">
      <c r="A204">
        <v>225</v>
      </c>
      <c r="B204" t="s">
        <v>231</v>
      </c>
      <c r="C204" s="2">
        <v>45146</v>
      </c>
      <c r="D204" t="s">
        <v>36</v>
      </c>
      <c r="E204" t="s">
        <v>18</v>
      </c>
      <c r="F204">
        <v>31</v>
      </c>
      <c r="G204">
        <v>9.25</v>
      </c>
      <c r="H204">
        <v>3.18</v>
      </c>
      <c r="I204">
        <f t="shared" si="6"/>
        <v>286.75</v>
      </c>
      <c r="J204">
        <f t="shared" si="7"/>
        <v>188.17000000000002</v>
      </c>
      <c r="K204">
        <v>20</v>
      </c>
    </row>
    <row r="205" spans="1:11" x14ac:dyDescent="0.25">
      <c r="A205">
        <v>226</v>
      </c>
      <c r="B205" t="s">
        <v>232</v>
      </c>
      <c r="C205" s="2">
        <v>45147</v>
      </c>
      <c r="D205" t="s">
        <v>36</v>
      </c>
      <c r="E205" t="s">
        <v>13</v>
      </c>
      <c r="F205">
        <v>247</v>
      </c>
      <c r="G205">
        <v>39.24</v>
      </c>
      <c r="H205">
        <v>24.81</v>
      </c>
      <c r="I205">
        <f t="shared" si="6"/>
        <v>9692.2800000000007</v>
      </c>
      <c r="J205">
        <f t="shared" si="7"/>
        <v>3564.2100000000009</v>
      </c>
      <c r="K205">
        <v>44</v>
      </c>
    </row>
    <row r="206" spans="1:11" x14ac:dyDescent="0.25">
      <c r="A206">
        <v>227</v>
      </c>
      <c r="B206" t="s">
        <v>233</v>
      </c>
      <c r="C206" s="2">
        <v>45148</v>
      </c>
      <c r="D206" t="s">
        <v>45</v>
      </c>
      <c r="E206" t="s">
        <v>16</v>
      </c>
      <c r="F206">
        <v>167</v>
      </c>
      <c r="G206">
        <v>18.57</v>
      </c>
      <c r="H206">
        <v>16.37</v>
      </c>
      <c r="I206">
        <f t="shared" si="6"/>
        <v>3101.19</v>
      </c>
      <c r="J206">
        <f t="shared" si="7"/>
        <v>367.40000000000009</v>
      </c>
      <c r="K206">
        <v>46</v>
      </c>
    </row>
    <row r="207" spans="1:11" x14ac:dyDescent="0.25">
      <c r="A207">
        <v>228</v>
      </c>
      <c r="B207" t="s">
        <v>234</v>
      </c>
      <c r="C207" s="2">
        <v>45149</v>
      </c>
      <c r="D207" t="s">
        <v>12</v>
      </c>
      <c r="E207" t="s">
        <v>16</v>
      </c>
      <c r="F207">
        <v>47</v>
      </c>
      <c r="G207">
        <v>17.010000000000002</v>
      </c>
      <c r="H207">
        <v>10.44</v>
      </c>
      <c r="I207">
        <f t="shared" si="6"/>
        <v>799.47</v>
      </c>
      <c r="J207">
        <f t="shared" si="7"/>
        <v>308.79000000000008</v>
      </c>
      <c r="K207">
        <v>49</v>
      </c>
    </row>
    <row r="208" spans="1:11" x14ac:dyDescent="0.25">
      <c r="A208">
        <v>229</v>
      </c>
      <c r="B208" t="s">
        <v>235</v>
      </c>
      <c r="C208" s="2">
        <v>45150</v>
      </c>
      <c r="D208" t="s">
        <v>12</v>
      </c>
      <c r="E208" t="s">
        <v>18</v>
      </c>
      <c r="F208">
        <v>239</v>
      </c>
      <c r="G208">
        <v>257.36</v>
      </c>
      <c r="H208">
        <v>174.4</v>
      </c>
      <c r="I208">
        <f t="shared" si="6"/>
        <v>61509.04</v>
      </c>
      <c r="J208">
        <f t="shared" si="7"/>
        <v>19827.440000000002</v>
      </c>
      <c r="K208">
        <v>67</v>
      </c>
    </row>
    <row r="209" spans="1:11" x14ac:dyDescent="0.25">
      <c r="A209">
        <v>230</v>
      </c>
      <c r="B209" t="s">
        <v>236</v>
      </c>
      <c r="C209" s="2">
        <v>45151</v>
      </c>
      <c r="D209" t="s">
        <v>23</v>
      </c>
      <c r="E209" t="s">
        <v>33</v>
      </c>
      <c r="F209">
        <v>374</v>
      </c>
      <c r="G209">
        <v>212.58</v>
      </c>
      <c r="H209">
        <v>152.52000000000001</v>
      </c>
      <c r="I209">
        <f t="shared" si="6"/>
        <v>79504.92</v>
      </c>
      <c r="J209">
        <f t="shared" si="7"/>
        <v>22462.439999999995</v>
      </c>
      <c r="K209">
        <v>68</v>
      </c>
    </row>
    <row r="210" spans="1:11" x14ac:dyDescent="0.25">
      <c r="A210">
        <v>231</v>
      </c>
      <c r="B210" t="s">
        <v>237</v>
      </c>
      <c r="C210" s="2">
        <v>45152</v>
      </c>
      <c r="D210" t="s">
        <v>12</v>
      </c>
      <c r="E210" t="s">
        <v>16</v>
      </c>
      <c r="F210">
        <v>60</v>
      </c>
      <c r="G210">
        <v>144.88</v>
      </c>
      <c r="H210">
        <v>82.98</v>
      </c>
      <c r="I210">
        <f t="shared" si="6"/>
        <v>8692.7999999999993</v>
      </c>
      <c r="J210">
        <f t="shared" si="7"/>
        <v>3713.9999999999991</v>
      </c>
      <c r="K210">
        <v>36</v>
      </c>
    </row>
    <row r="211" spans="1:11" x14ac:dyDescent="0.25">
      <c r="A211">
        <v>232</v>
      </c>
      <c r="B211" t="s">
        <v>238</v>
      </c>
      <c r="C211" s="2">
        <v>45153</v>
      </c>
      <c r="D211" t="s">
        <v>23</v>
      </c>
      <c r="E211" t="s">
        <v>33</v>
      </c>
      <c r="F211">
        <v>447</v>
      </c>
      <c r="G211">
        <v>33.86</v>
      </c>
      <c r="H211">
        <v>22.91</v>
      </c>
      <c r="I211">
        <f t="shared" si="6"/>
        <v>15135.42</v>
      </c>
      <c r="J211">
        <f t="shared" si="7"/>
        <v>4894.6499999999996</v>
      </c>
      <c r="K211">
        <v>38</v>
      </c>
    </row>
    <row r="212" spans="1:11" x14ac:dyDescent="0.25">
      <c r="A212">
        <v>233</v>
      </c>
      <c r="B212" t="s">
        <v>239</v>
      </c>
      <c r="C212" s="2">
        <v>45154</v>
      </c>
      <c r="D212" t="s">
        <v>45</v>
      </c>
      <c r="E212" t="s">
        <v>16</v>
      </c>
      <c r="F212">
        <v>273</v>
      </c>
      <c r="G212">
        <v>150.03</v>
      </c>
      <c r="H212">
        <v>97.61</v>
      </c>
      <c r="I212">
        <f t="shared" si="6"/>
        <v>40958.19</v>
      </c>
      <c r="J212">
        <f t="shared" si="7"/>
        <v>14310.660000000003</v>
      </c>
      <c r="K212">
        <v>22</v>
      </c>
    </row>
    <row r="213" spans="1:11" x14ac:dyDescent="0.25">
      <c r="A213">
        <v>234</v>
      </c>
      <c r="B213" t="s">
        <v>240</v>
      </c>
      <c r="C213" s="2">
        <v>45155</v>
      </c>
      <c r="D213" t="s">
        <v>36</v>
      </c>
      <c r="E213" t="s">
        <v>33</v>
      </c>
      <c r="F213">
        <v>292</v>
      </c>
      <c r="G213">
        <v>144.66999999999999</v>
      </c>
      <c r="H213">
        <v>121.62</v>
      </c>
      <c r="I213">
        <f t="shared" si="6"/>
        <v>42243.64</v>
      </c>
      <c r="J213">
        <f t="shared" si="7"/>
        <v>6730.5999999999985</v>
      </c>
      <c r="K213">
        <v>35</v>
      </c>
    </row>
    <row r="214" spans="1:11" x14ac:dyDescent="0.25">
      <c r="A214">
        <v>235</v>
      </c>
      <c r="B214" t="s">
        <v>241</v>
      </c>
      <c r="C214" s="2">
        <v>45156</v>
      </c>
      <c r="D214" t="s">
        <v>36</v>
      </c>
      <c r="E214" t="s">
        <v>13</v>
      </c>
      <c r="F214">
        <v>36</v>
      </c>
      <c r="G214">
        <v>56.09</v>
      </c>
      <c r="H214">
        <v>18.36</v>
      </c>
      <c r="I214">
        <f t="shared" si="6"/>
        <v>2019.2400000000002</v>
      </c>
      <c r="J214">
        <f t="shared" si="7"/>
        <v>1358.2800000000002</v>
      </c>
      <c r="K214">
        <v>45</v>
      </c>
    </row>
    <row r="215" spans="1:11" x14ac:dyDescent="0.25">
      <c r="A215">
        <v>236</v>
      </c>
      <c r="B215" t="s">
        <v>242</v>
      </c>
      <c r="C215" s="2">
        <v>45157</v>
      </c>
      <c r="D215" t="s">
        <v>36</v>
      </c>
      <c r="E215" t="s">
        <v>33</v>
      </c>
      <c r="F215">
        <v>235</v>
      </c>
      <c r="G215">
        <v>132.99</v>
      </c>
      <c r="H215">
        <v>62.32</v>
      </c>
      <c r="I215">
        <f t="shared" si="6"/>
        <v>31252.65</v>
      </c>
      <c r="J215">
        <f t="shared" si="7"/>
        <v>16607.45</v>
      </c>
      <c r="K215">
        <v>59</v>
      </c>
    </row>
    <row r="216" spans="1:11" x14ac:dyDescent="0.25">
      <c r="A216">
        <v>237</v>
      </c>
      <c r="B216" t="s">
        <v>243</v>
      </c>
      <c r="C216" s="2">
        <v>45158</v>
      </c>
      <c r="D216" t="s">
        <v>12</v>
      </c>
      <c r="E216" t="s">
        <v>13</v>
      </c>
      <c r="F216">
        <v>286</v>
      </c>
      <c r="G216">
        <v>122.56</v>
      </c>
      <c r="H216">
        <v>106.66</v>
      </c>
      <c r="I216">
        <f t="shared" si="6"/>
        <v>35052.160000000003</v>
      </c>
      <c r="J216">
        <f t="shared" si="7"/>
        <v>4547.4000000000051</v>
      </c>
      <c r="K216">
        <v>39</v>
      </c>
    </row>
    <row r="217" spans="1:11" x14ac:dyDescent="0.25">
      <c r="A217">
        <v>238</v>
      </c>
      <c r="B217" t="s">
        <v>244</v>
      </c>
      <c r="C217" s="2">
        <v>45159</v>
      </c>
      <c r="D217" t="s">
        <v>45</v>
      </c>
      <c r="E217" t="s">
        <v>13</v>
      </c>
      <c r="F217">
        <v>295</v>
      </c>
      <c r="G217">
        <v>186.68</v>
      </c>
      <c r="H217">
        <v>155.72</v>
      </c>
      <c r="I217">
        <f t="shared" si="6"/>
        <v>55070.6</v>
      </c>
      <c r="J217">
        <f t="shared" si="7"/>
        <v>9133.1999999999971</v>
      </c>
      <c r="K217">
        <v>38</v>
      </c>
    </row>
    <row r="218" spans="1:11" x14ac:dyDescent="0.25">
      <c r="A218">
        <v>239</v>
      </c>
      <c r="B218" t="s">
        <v>245</v>
      </c>
      <c r="C218" s="2">
        <v>45160</v>
      </c>
      <c r="D218" t="s">
        <v>12</v>
      </c>
      <c r="E218" t="s">
        <v>33</v>
      </c>
      <c r="F218">
        <v>106</v>
      </c>
      <c r="G218">
        <v>192.35</v>
      </c>
      <c r="H218">
        <v>110.29</v>
      </c>
      <c r="I218">
        <f t="shared" si="6"/>
        <v>20389.099999999999</v>
      </c>
      <c r="J218">
        <f t="shared" si="7"/>
        <v>8698.3599999999988</v>
      </c>
      <c r="K218">
        <v>23</v>
      </c>
    </row>
    <row r="219" spans="1:11" x14ac:dyDescent="0.25">
      <c r="A219">
        <v>240</v>
      </c>
      <c r="B219" t="s">
        <v>246</v>
      </c>
      <c r="C219" s="2">
        <v>45161</v>
      </c>
      <c r="D219" t="s">
        <v>12</v>
      </c>
      <c r="E219" t="s">
        <v>13</v>
      </c>
      <c r="F219">
        <v>293</v>
      </c>
      <c r="G219">
        <v>18.36</v>
      </c>
      <c r="H219">
        <v>12.34</v>
      </c>
      <c r="I219">
        <f t="shared" si="6"/>
        <v>5379.48</v>
      </c>
      <c r="J219">
        <f t="shared" si="7"/>
        <v>1763.8599999999997</v>
      </c>
      <c r="K219">
        <v>18</v>
      </c>
    </row>
    <row r="220" spans="1:11" x14ac:dyDescent="0.25">
      <c r="A220">
        <v>241</v>
      </c>
      <c r="B220" t="s">
        <v>247</v>
      </c>
      <c r="C220" s="2">
        <v>45162</v>
      </c>
      <c r="D220" t="s">
        <v>45</v>
      </c>
      <c r="E220" t="s">
        <v>18</v>
      </c>
      <c r="F220">
        <v>376</v>
      </c>
      <c r="G220">
        <v>115.51</v>
      </c>
      <c r="H220">
        <v>53.88</v>
      </c>
      <c r="I220">
        <f t="shared" si="6"/>
        <v>43431.76</v>
      </c>
      <c r="J220">
        <f t="shared" si="7"/>
        <v>23172.880000000001</v>
      </c>
      <c r="K220">
        <v>22</v>
      </c>
    </row>
    <row r="221" spans="1:11" x14ac:dyDescent="0.25">
      <c r="A221">
        <v>242</v>
      </c>
      <c r="B221" t="s">
        <v>248</v>
      </c>
      <c r="C221" s="2">
        <v>45163</v>
      </c>
      <c r="D221" t="s">
        <v>45</v>
      </c>
      <c r="E221" t="s">
        <v>13</v>
      </c>
      <c r="F221">
        <v>457</v>
      </c>
      <c r="G221">
        <v>189.63</v>
      </c>
      <c r="H221">
        <v>78.290000000000006</v>
      </c>
      <c r="I221">
        <f t="shared" si="6"/>
        <v>86660.91</v>
      </c>
      <c r="J221">
        <f t="shared" si="7"/>
        <v>50882.38</v>
      </c>
      <c r="K221">
        <v>58</v>
      </c>
    </row>
    <row r="222" spans="1:11" x14ac:dyDescent="0.25">
      <c r="A222">
        <v>243</v>
      </c>
      <c r="B222" t="s">
        <v>249</v>
      </c>
      <c r="C222" s="2">
        <v>45164</v>
      </c>
      <c r="D222" t="s">
        <v>45</v>
      </c>
      <c r="E222" t="s">
        <v>16</v>
      </c>
      <c r="F222">
        <v>490</v>
      </c>
      <c r="G222">
        <v>153.43</v>
      </c>
      <c r="H222">
        <v>88.72</v>
      </c>
      <c r="I222">
        <f t="shared" si="6"/>
        <v>75180.7</v>
      </c>
      <c r="J222">
        <f t="shared" si="7"/>
        <v>31707.899999999994</v>
      </c>
      <c r="K222">
        <v>29</v>
      </c>
    </row>
    <row r="223" spans="1:11" x14ac:dyDescent="0.25">
      <c r="A223">
        <v>244</v>
      </c>
      <c r="B223" t="s">
        <v>250</v>
      </c>
      <c r="C223" s="2">
        <v>45165</v>
      </c>
      <c r="D223" t="s">
        <v>45</v>
      </c>
      <c r="E223" t="s">
        <v>33</v>
      </c>
      <c r="F223">
        <v>462</v>
      </c>
      <c r="G223">
        <v>257.66000000000003</v>
      </c>
      <c r="H223">
        <v>131.91999999999999</v>
      </c>
      <c r="I223">
        <f t="shared" si="6"/>
        <v>119038.92000000001</v>
      </c>
      <c r="J223">
        <f t="shared" si="7"/>
        <v>58091.880000000019</v>
      </c>
      <c r="K223">
        <v>43</v>
      </c>
    </row>
    <row r="224" spans="1:11" x14ac:dyDescent="0.25">
      <c r="A224">
        <v>245</v>
      </c>
      <c r="B224" t="s">
        <v>251</v>
      </c>
      <c r="C224" s="2">
        <v>45166</v>
      </c>
      <c r="D224" t="s">
        <v>36</v>
      </c>
      <c r="E224" t="s">
        <v>18</v>
      </c>
      <c r="F224">
        <v>326</v>
      </c>
      <c r="G224">
        <v>199.31</v>
      </c>
      <c r="H224">
        <v>129.59</v>
      </c>
      <c r="I224">
        <f t="shared" si="6"/>
        <v>64975.06</v>
      </c>
      <c r="J224">
        <f t="shared" si="7"/>
        <v>22728.719999999994</v>
      </c>
      <c r="K224">
        <v>63</v>
      </c>
    </row>
    <row r="225" spans="1:11" x14ac:dyDescent="0.25">
      <c r="A225">
        <v>246</v>
      </c>
      <c r="B225" t="s">
        <v>252</v>
      </c>
      <c r="C225" s="2">
        <v>45167</v>
      </c>
      <c r="D225" t="s">
        <v>15</v>
      </c>
      <c r="E225" t="s">
        <v>33</v>
      </c>
      <c r="F225">
        <v>313</v>
      </c>
      <c r="G225">
        <v>53.07</v>
      </c>
      <c r="H225">
        <v>18.399999999999999</v>
      </c>
      <c r="I225">
        <f t="shared" si="6"/>
        <v>16610.91</v>
      </c>
      <c r="J225">
        <f t="shared" si="7"/>
        <v>10851.71</v>
      </c>
      <c r="K225">
        <v>51</v>
      </c>
    </row>
    <row r="226" spans="1:11" x14ac:dyDescent="0.25">
      <c r="A226">
        <v>247</v>
      </c>
      <c r="B226" t="s">
        <v>253</v>
      </c>
      <c r="C226" s="2">
        <v>45168</v>
      </c>
      <c r="D226" t="s">
        <v>15</v>
      </c>
      <c r="E226" t="s">
        <v>16</v>
      </c>
      <c r="F226">
        <v>156</v>
      </c>
      <c r="G226">
        <v>25.82</v>
      </c>
      <c r="H226">
        <v>22.84</v>
      </c>
      <c r="I226">
        <f t="shared" si="6"/>
        <v>4027.92</v>
      </c>
      <c r="J226">
        <f t="shared" si="7"/>
        <v>464.88000000000011</v>
      </c>
      <c r="K226">
        <v>66</v>
      </c>
    </row>
    <row r="227" spans="1:11" x14ac:dyDescent="0.25">
      <c r="A227">
        <v>248</v>
      </c>
      <c r="B227" t="s">
        <v>254</v>
      </c>
      <c r="C227" s="2">
        <v>45169</v>
      </c>
      <c r="D227" t="s">
        <v>45</v>
      </c>
      <c r="E227" t="s">
        <v>16</v>
      </c>
      <c r="F227">
        <v>13</v>
      </c>
      <c r="G227">
        <v>194.51</v>
      </c>
      <c r="H227">
        <v>173.45</v>
      </c>
      <c r="I227">
        <f t="shared" si="6"/>
        <v>2528.63</v>
      </c>
      <c r="J227">
        <f t="shared" si="7"/>
        <v>273.7800000000002</v>
      </c>
      <c r="K227">
        <v>31</v>
      </c>
    </row>
    <row r="228" spans="1:11" x14ac:dyDescent="0.25">
      <c r="A228">
        <v>249</v>
      </c>
      <c r="B228" t="s">
        <v>255</v>
      </c>
      <c r="C228" s="2">
        <v>45170</v>
      </c>
      <c r="D228" t="s">
        <v>15</v>
      </c>
      <c r="E228" t="s">
        <v>16</v>
      </c>
      <c r="F228">
        <v>44</v>
      </c>
      <c r="G228">
        <v>12.82</v>
      </c>
      <c r="H228">
        <v>9.2200000000000006</v>
      </c>
      <c r="I228">
        <f t="shared" si="6"/>
        <v>564.08000000000004</v>
      </c>
      <c r="J228">
        <f t="shared" si="7"/>
        <v>158.40000000000003</v>
      </c>
      <c r="K228">
        <v>43</v>
      </c>
    </row>
    <row r="229" spans="1:11" x14ac:dyDescent="0.25">
      <c r="A229">
        <v>250</v>
      </c>
      <c r="B229" t="s">
        <v>256</v>
      </c>
      <c r="C229" s="2">
        <v>45171</v>
      </c>
      <c r="D229" t="s">
        <v>15</v>
      </c>
      <c r="E229" t="s">
        <v>13</v>
      </c>
      <c r="F229">
        <v>201</v>
      </c>
      <c r="G229">
        <v>177.8</v>
      </c>
      <c r="H229">
        <v>110.53</v>
      </c>
      <c r="I229">
        <f t="shared" si="6"/>
        <v>35737.800000000003</v>
      </c>
      <c r="J229">
        <f t="shared" si="7"/>
        <v>13521.270000000004</v>
      </c>
      <c r="K229">
        <v>62</v>
      </c>
    </row>
    <row r="230" spans="1:11" x14ac:dyDescent="0.25">
      <c r="A230">
        <v>251</v>
      </c>
      <c r="B230" t="s">
        <v>257</v>
      </c>
      <c r="C230" s="2">
        <v>45172</v>
      </c>
      <c r="D230" t="s">
        <v>45</v>
      </c>
      <c r="E230" t="s">
        <v>13</v>
      </c>
      <c r="F230">
        <v>58</v>
      </c>
      <c r="G230">
        <v>282.37</v>
      </c>
      <c r="H230">
        <v>137.15</v>
      </c>
      <c r="I230">
        <f t="shared" si="6"/>
        <v>16377.460000000001</v>
      </c>
      <c r="J230">
        <f t="shared" si="7"/>
        <v>8422.76</v>
      </c>
      <c r="K230">
        <v>44</v>
      </c>
    </row>
    <row r="231" spans="1:11" x14ac:dyDescent="0.25">
      <c r="A231">
        <v>252</v>
      </c>
      <c r="B231" t="s">
        <v>258</v>
      </c>
      <c r="C231" s="2">
        <v>45173</v>
      </c>
      <c r="D231" t="s">
        <v>15</v>
      </c>
      <c r="E231" t="s">
        <v>33</v>
      </c>
      <c r="F231">
        <v>26</v>
      </c>
      <c r="G231">
        <v>174.76</v>
      </c>
      <c r="H231">
        <v>137.76</v>
      </c>
      <c r="I231">
        <f t="shared" si="6"/>
        <v>4543.76</v>
      </c>
      <c r="J231">
        <f t="shared" si="7"/>
        <v>962.00000000000045</v>
      </c>
      <c r="K231">
        <v>26</v>
      </c>
    </row>
    <row r="232" spans="1:11" x14ac:dyDescent="0.25">
      <c r="A232">
        <v>253</v>
      </c>
      <c r="B232" t="s">
        <v>259</v>
      </c>
      <c r="C232" s="2">
        <v>45174</v>
      </c>
      <c r="D232" t="s">
        <v>12</v>
      </c>
      <c r="E232" t="s">
        <v>33</v>
      </c>
      <c r="F232">
        <v>181</v>
      </c>
      <c r="G232">
        <v>119.51</v>
      </c>
      <c r="H232">
        <v>84.95</v>
      </c>
      <c r="I232">
        <f t="shared" si="6"/>
        <v>21631.31</v>
      </c>
      <c r="J232">
        <f t="shared" si="7"/>
        <v>6255.3600000000006</v>
      </c>
      <c r="K232">
        <v>43</v>
      </c>
    </row>
    <row r="233" spans="1:11" x14ac:dyDescent="0.25">
      <c r="A233">
        <v>254</v>
      </c>
      <c r="B233" t="s">
        <v>260</v>
      </c>
      <c r="C233" s="2">
        <v>45175</v>
      </c>
      <c r="D233" t="s">
        <v>23</v>
      </c>
      <c r="E233" t="s">
        <v>18</v>
      </c>
      <c r="F233">
        <v>229</v>
      </c>
      <c r="G233">
        <v>194.77</v>
      </c>
      <c r="H233">
        <v>77.430000000000007</v>
      </c>
      <c r="I233">
        <f t="shared" si="6"/>
        <v>44602.33</v>
      </c>
      <c r="J233">
        <f t="shared" si="7"/>
        <v>26870.86</v>
      </c>
      <c r="K233">
        <v>64</v>
      </c>
    </row>
    <row r="234" spans="1:11" x14ac:dyDescent="0.25">
      <c r="A234">
        <v>255</v>
      </c>
      <c r="B234" t="s">
        <v>261</v>
      </c>
      <c r="C234" s="2">
        <v>45176</v>
      </c>
      <c r="D234" t="s">
        <v>23</v>
      </c>
      <c r="E234" t="s">
        <v>18</v>
      </c>
      <c r="F234">
        <v>167</v>
      </c>
      <c r="G234">
        <v>140.18</v>
      </c>
      <c r="H234">
        <v>118.67</v>
      </c>
      <c r="I234">
        <f t="shared" si="6"/>
        <v>23410.06</v>
      </c>
      <c r="J234">
        <f t="shared" si="7"/>
        <v>3592.1700000000019</v>
      </c>
      <c r="K234">
        <v>39</v>
      </c>
    </row>
    <row r="235" spans="1:11" x14ac:dyDescent="0.25">
      <c r="A235">
        <v>256</v>
      </c>
      <c r="B235" t="s">
        <v>262</v>
      </c>
      <c r="C235" s="2">
        <v>45177</v>
      </c>
      <c r="D235" t="s">
        <v>45</v>
      </c>
      <c r="E235" t="s">
        <v>33</v>
      </c>
      <c r="F235">
        <v>486</v>
      </c>
      <c r="G235">
        <v>165.96</v>
      </c>
      <c r="H235">
        <v>131.69</v>
      </c>
      <c r="I235">
        <f t="shared" si="6"/>
        <v>80656.56</v>
      </c>
      <c r="J235">
        <f t="shared" si="7"/>
        <v>16655.22</v>
      </c>
      <c r="K235">
        <v>64</v>
      </c>
    </row>
    <row r="236" spans="1:11" x14ac:dyDescent="0.25">
      <c r="A236">
        <v>257</v>
      </c>
      <c r="B236" t="s">
        <v>263</v>
      </c>
      <c r="C236" s="2">
        <v>45178</v>
      </c>
      <c r="D236" t="s">
        <v>36</v>
      </c>
      <c r="E236" t="s">
        <v>13</v>
      </c>
      <c r="F236">
        <v>55</v>
      </c>
      <c r="G236">
        <v>282.73</v>
      </c>
      <c r="H236">
        <v>245.94</v>
      </c>
      <c r="I236">
        <f t="shared" si="6"/>
        <v>15550.150000000001</v>
      </c>
      <c r="J236">
        <f t="shared" si="7"/>
        <v>2023.4500000000007</v>
      </c>
      <c r="K236">
        <v>47</v>
      </c>
    </row>
    <row r="237" spans="1:11" x14ac:dyDescent="0.25">
      <c r="A237">
        <v>258</v>
      </c>
      <c r="B237" t="s">
        <v>264</v>
      </c>
      <c r="C237" s="2">
        <v>45179</v>
      </c>
      <c r="D237" t="s">
        <v>45</v>
      </c>
      <c r="E237" t="s">
        <v>16</v>
      </c>
      <c r="F237">
        <v>382</v>
      </c>
      <c r="G237">
        <v>118.9</v>
      </c>
      <c r="H237">
        <v>87.44</v>
      </c>
      <c r="I237">
        <f t="shared" si="6"/>
        <v>45419.8</v>
      </c>
      <c r="J237">
        <f t="shared" si="7"/>
        <v>12017.720000000001</v>
      </c>
      <c r="K237">
        <v>60</v>
      </c>
    </row>
    <row r="238" spans="1:11" x14ac:dyDescent="0.25">
      <c r="A238">
        <v>259</v>
      </c>
      <c r="B238" t="s">
        <v>265</v>
      </c>
      <c r="C238" s="2">
        <v>45180</v>
      </c>
      <c r="D238" t="s">
        <v>36</v>
      </c>
      <c r="E238" t="s">
        <v>33</v>
      </c>
      <c r="F238">
        <v>15</v>
      </c>
      <c r="G238">
        <v>288.55</v>
      </c>
      <c r="H238">
        <v>192.77</v>
      </c>
      <c r="I238">
        <f t="shared" si="6"/>
        <v>4328.25</v>
      </c>
      <c r="J238">
        <f t="shared" si="7"/>
        <v>1436.6999999999998</v>
      </c>
      <c r="K238">
        <v>65</v>
      </c>
    </row>
    <row r="239" spans="1:11" x14ac:dyDescent="0.25">
      <c r="A239">
        <v>260</v>
      </c>
      <c r="B239" t="s">
        <v>266</v>
      </c>
      <c r="C239" s="2">
        <v>45181</v>
      </c>
      <c r="D239" t="s">
        <v>23</v>
      </c>
      <c r="E239" t="s">
        <v>18</v>
      </c>
      <c r="F239">
        <v>108</v>
      </c>
      <c r="G239">
        <v>272.08</v>
      </c>
      <c r="H239">
        <v>149.9</v>
      </c>
      <c r="I239">
        <f t="shared" si="6"/>
        <v>29384.639999999999</v>
      </c>
      <c r="J239">
        <f t="shared" si="7"/>
        <v>13195.439999999999</v>
      </c>
      <c r="K239">
        <v>34</v>
      </c>
    </row>
    <row r="240" spans="1:11" x14ac:dyDescent="0.25">
      <c r="A240">
        <v>261</v>
      </c>
      <c r="B240" t="s">
        <v>267</v>
      </c>
      <c r="C240" s="2">
        <v>45182</v>
      </c>
      <c r="D240" t="s">
        <v>45</v>
      </c>
      <c r="E240" t="s">
        <v>13</v>
      </c>
      <c r="F240">
        <v>389</v>
      </c>
      <c r="G240">
        <v>62.76</v>
      </c>
      <c r="H240">
        <v>53.95</v>
      </c>
      <c r="I240">
        <f t="shared" si="6"/>
        <v>24413.64</v>
      </c>
      <c r="J240">
        <f t="shared" si="7"/>
        <v>3427.0899999999965</v>
      </c>
      <c r="K240">
        <v>43</v>
      </c>
    </row>
    <row r="241" spans="1:11" x14ac:dyDescent="0.25">
      <c r="A241">
        <v>262</v>
      </c>
      <c r="B241" t="s">
        <v>268</v>
      </c>
      <c r="C241" s="2">
        <v>45183</v>
      </c>
      <c r="D241" t="s">
        <v>12</v>
      </c>
      <c r="E241" t="s">
        <v>33</v>
      </c>
      <c r="F241">
        <v>242</v>
      </c>
      <c r="G241">
        <v>25.46</v>
      </c>
      <c r="H241">
        <v>20.87</v>
      </c>
      <c r="I241">
        <f t="shared" si="6"/>
        <v>6161.3200000000006</v>
      </c>
      <c r="J241">
        <f t="shared" si="7"/>
        <v>1110.7800000000007</v>
      </c>
      <c r="K241">
        <v>53</v>
      </c>
    </row>
    <row r="242" spans="1:11" x14ac:dyDescent="0.25">
      <c r="A242">
        <v>263</v>
      </c>
      <c r="B242" t="s">
        <v>269</v>
      </c>
      <c r="C242" s="2">
        <v>45184</v>
      </c>
      <c r="D242" t="s">
        <v>15</v>
      </c>
      <c r="E242" t="s">
        <v>33</v>
      </c>
      <c r="F242">
        <v>46</v>
      </c>
      <c r="G242">
        <v>34.729999999999997</v>
      </c>
      <c r="H242">
        <v>11.36</v>
      </c>
      <c r="I242">
        <f t="shared" si="6"/>
        <v>1597.58</v>
      </c>
      <c r="J242">
        <f t="shared" si="7"/>
        <v>1075.02</v>
      </c>
      <c r="K242">
        <v>18</v>
      </c>
    </row>
    <row r="243" spans="1:11" x14ac:dyDescent="0.25">
      <c r="A243">
        <v>264</v>
      </c>
      <c r="B243" t="s">
        <v>270</v>
      </c>
      <c r="C243" s="2">
        <v>45185</v>
      </c>
      <c r="D243" t="s">
        <v>36</v>
      </c>
      <c r="E243" t="s">
        <v>13</v>
      </c>
      <c r="F243">
        <v>289</v>
      </c>
      <c r="G243">
        <v>10.38</v>
      </c>
      <c r="H243">
        <v>3.28</v>
      </c>
      <c r="I243">
        <f t="shared" si="6"/>
        <v>2999.82</v>
      </c>
      <c r="J243">
        <f t="shared" si="7"/>
        <v>2051.9</v>
      </c>
      <c r="K243">
        <v>25</v>
      </c>
    </row>
    <row r="244" spans="1:11" x14ac:dyDescent="0.25">
      <c r="A244">
        <v>265</v>
      </c>
      <c r="B244" t="s">
        <v>271</v>
      </c>
      <c r="C244" s="2">
        <v>45186</v>
      </c>
      <c r="D244" t="s">
        <v>15</v>
      </c>
      <c r="E244" t="s">
        <v>33</v>
      </c>
      <c r="F244">
        <v>358</v>
      </c>
      <c r="G244">
        <v>32.86</v>
      </c>
      <c r="H244">
        <v>17.28</v>
      </c>
      <c r="I244">
        <f t="shared" si="6"/>
        <v>11763.88</v>
      </c>
      <c r="J244">
        <f t="shared" si="7"/>
        <v>5577.6399999999985</v>
      </c>
      <c r="K244">
        <v>66</v>
      </c>
    </row>
    <row r="245" spans="1:11" x14ac:dyDescent="0.25">
      <c r="A245">
        <v>266</v>
      </c>
      <c r="B245" t="s">
        <v>272</v>
      </c>
      <c r="C245" s="2">
        <v>45187</v>
      </c>
      <c r="D245" t="s">
        <v>15</v>
      </c>
      <c r="E245" t="s">
        <v>13</v>
      </c>
      <c r="F245">
        <v>311</v>
      </c>
      <c r="G245">
        <v>206.49</v>
      </c>
      <c r="H245">
        <v>162.37</v>
      </c>
      <c r="I245">
        <f t="shared" si="6"/>
        <v>64218.39</v>
      </c>
      <c r="J245">
        <f t="shared" si="7"/>
        <v>13721.32</v>
      </c>
      <c r="K245">
        <v>52</v>
      </c>
    </row>
    <row r="246" spans="1:11" x14ac:dyDescent="0.25">
      <c r="A246">
        <v>267</v>
      </c>
      <c r="B246" t="s">
        <v>273</v>
      </c>
      <c r="C246" s="2">
        <v>45188</v>
      </c>
      <c r="D246" t="s">
        <v>45</v>
      </c>
      <c r="E246" t="s">
        <v>16</v>
      </c>
      <c r="F246">
        <v>190</v>
      </c>
      <c r="G246">
        <v>26</v>
      </c>
      <c r="H246">
        <v>23.2</v>
      </c>
      <c r="I246">
        <f t="shared" si="6"/>
        <v>4940</v>
      </c>
      <c r="J246">
        <f t="shared" si="7"/>
        <v>532</v>
      </c>
      <c r="K246">
        <v>69</v>
      </c>
    </row>
    <row r="247" spans="1:11" x14ac:dyDescent="0.25">
      <c r="A247">
        <v>268</v>
      </c>
      <c r="B247" t="s">
        <v>274</v>
      </c>
      <c r="C247" s="2">
        <v>45189</v>
      </c>
      <c r="D247" t="s">
        <v>15</v>
      </c>
      <c r="E247" t="s">
        <v>13</v>
      </c>
      <c r="F247">
        <v>104</v>
      </c>
      <c r="G247">
        <v>99.1</v>
      </c>
      <c r="H247">
        <v>38.67</v>
      </c>
      <c r="I247">
        <f t="shared" si="6"/>
        <v>10306.4</v>
      </c>
      <c r="J247">
        <f t="shared" si="7"/>
        <v>6284.7199999999993</v>
      </c>
      <c r="K247">
        <v>32</v>
      </c>
    </row>
    <row r="248" spans="1:11" x14ac:dyDescent="0.25">
      <c r="A248">
        <v>269</v>
      </c>
      <c r="B248" t="s">
        <v>275</v>
      </c>
      <c r="C248" s="2">
        <v>45190</v>
      </c>
      <c r="D248" t="s">
        <v>12</v>
      </c>
      <c r="E248" t="s">
        <v>13</v>
      </c>
      <c r="F248">
        <v>108</v>
      </c>
      <c r="G248">
        <v>254.24</v>
      </c>
      <c r="H248">
        <v>166.9</v>
      </c>
      <c r="I248">
        <f t="shared" si="6"/>
        <v>27457.920000000002</v>
      </c>
      <c r="J248">
        <f t="shared" si="7"/>
        <v>9432.7200000000012</v>
      </c>
      <c r="K248">
        <v>64</v>
      </c>
    </row>
    <row r="249" spans="1:11" x14ac:dyDescent="0.25">
      <c r="A249">
        <v>270</v>
      </c>
      <c r="B249" t="s">
        <v>276</v>
      </c>
      <c r="C249" s="2">
        <v>45191</v>
      </c>
      <c r="D249" t="s">
        <v>15</v>
      </c>
      <c r="E249" t="s">
        <v>13</v>
      </c>
      <c r="F249">
        <v>197</v>
      </c>
      <c r="G249">
        <v>11.87</v>
      </c>
      <c r="H249">
        <v>6.27</v>
      </c>
      <c r="I249">
        <f t="shared" si="6"/>
        <v>2338.39</v>
      </c>
      <c r="J249">
        <f t="shared" si="7"/>
        <v>1103.2</v>
      </c>
      <c r="K249">
        <v>39</v>
      </c>
    </row>
    <row r="250" spans="1:11" x14ac:dyDescent="0.25">
      <c r="A250">
        <v>271</v>
      </c>
      <c r="B250" t="s">
        <v>277</v>
      </c>
      <c r="C250" s="2">
        <v>45192</v>
      </c>
      <c r="D250" t="s">
        <v>45</v>
      </c>
      <c r="E250" t="s">
        <v>33</v>
      </c>
      <c r="F250">
        <v>490</v>
      </c>
      <c r="G250">
        <v>245.27</v>
      </c>
      <c r="H250">
        <v>216.32</v>
      </c>
      <c r="I250">
        <f t="shared" si="6"/>
        <v>120182.3</v>
      </c>
      <c r="J250">
        <f t="shared" si="7"/>
        <v>14185.5</v>
      </c>
      <c r="K250">
        <v>31</v>
      </c>
    </row>
    <row r="251" spans="1:11" x14ac:dyDescent="0.25">
      <c r="A251">
        <v>272</v>
      </c>
      <c r="B251" t="s">
        <v>278</v>
      </c>
      <c r="C251" s="2">
        <v>45193</v>
      </c>
      <c r="D251" t="s">
        <v>12</v>
      </c>
      <c r="E251" t="s">
        <v>33</v>
      </c>
      <c r="F251">
        <v>125</v>
      </c>
      <c r="G251">
        <v>88.15</v>
      </c>
      <c r="H251">
        <v>70.98</v>
      </c>
      <c r="I251">
        <f t="shared" si="6"/>
        <v>11018.75</v>
      </c>
      <c r="J251">
        <f t="shared" si="7"/>
        <v>2146.25</v>
      </c>
      <c r="K251">
        <v>43</v>
      </c>
    </row>
    <row r="252" spans="1:11" x14ac:dyDescent="0.25">
      <c r="A252">
        <v>273</v>
      </c>
      <c r="B252" t="s">
        <v>279</v>
      </c>
      <c r="C252" s="2">
        <v>45194</v>
      </c>
      <c r="D252" t="s">
        <v>23</v>
      </c>
      <c r="E252" t="s">
        <v>13</v>
      </c>
      <c r="F252">
        <v>200</v>
      </c>
      <c r="G252">
        <v>39.86</v>
      </c>
      <c r="H252">
        <v>32.01</v>
      </c>
      <c r="I252">
        <f t="shared" si="6"/>
        <v>7972</v>
      </c>
      <c r="J252">
        <f t="shared" si="7"/>
        <v>1570</v>
      </c>
      <c r="K252">
        <v>45</v>
      </c>
    </row>
    <row r="253" spans="1:11" x14ac:dyDescent="0.25">
      <c r="A253">
        <v>274</v>
      </c>
      <c r="B253" t="s">
        <v>280</v>
      </c>
      <c r="C253" s="2">
        <v>45195</v>
      </c>
      <c r="D253" t="s">
        <v>15</v>
      </c>
      <c r="E253" t="s">
        <v>33</v>
      </c>
      <c r="F253">
        <v>262</v>
      </c>
      <c r="G253">
        <v>210.54</v>
      </c>
      <c r="H253">
        <v>122.37</v>
      </c>
      <c r="I253">
        <f t="shared" si="6"/>
        <v>55161.479999999996</v>
      </c>
      <c r="J253">
        <f t="shared" si="7"/>
        <v>23100.539999999994</v>
      </c>
      <c r="K253">
        <v>40</v>
      </c>
    </row>
    <row r="254" spans="1:11" x14ac:dyDescent="0.25">
      <c r="A254">
        <v>275</v>
      </c>
      <c r="B254" t="s">
        <v>281</v>
      </c>
      <c r="C254" s="2">
        <v>45196</v>
      </c>
      <c r="D254" t="s">
        <v>45</v>
      </c>
      <c r="E254" t="s">
        <v>18</v>
      </c>
      <c r="F254">
        <v>478</v>
      </c>
      <c r="G254">
        <v>190.54</v>
      </c>
      <c r="H254">
        <v>104.59</v>
      </c>
      <c r="I254">
        <f t="shared" si="6"/>
        <v>91078.12</v>
      </c>
      <c r="J254">
        <f t="shared" si="7"/>
        <v>41084.099999999991</v>
      </c>
      <c r="K254">
        <v>31</v>
      </c>
    </row>
    <row r="255" spans="1:11" x14ac:dyDescent="0.25">
      <c r="A255">
        <v>276</v>
      </c>
      <c r="B255" t="s">
        <v>282</v>
      </c>
      <c r="C255" s="2">
        <v>45197</v>
      </c>
      <c r="D255" t="s">
        <v>23</v>
      </c>
      <c r="E255" t="s">
        <v>18</v>
      </c>
      <c r="F255">
        <v>425</v>
      </c>
      <c r="G255">
        <v>263.85000000000002</v>
      </c>
      <c r="H255">
        <v>122.44</v>
      </c>
      <c r="I255">
        <f t="shared" si="6"/>
        <v>112136.25000000001</v>
      </c>
      <c r="J255">
        <f t="shared" si="7"/>
        <v>60099.250000000015</v>
      </c>
      <c r="K255">
        <v>41</v>
      </c>
    </row>
    <row r="256" spans="1:11" x14ac:dyDescent="0.25">
      <c r="A256">
        <v>277</v>
      </c>
      <c r="B256" t="s">
        <v>283</v>
      </c>
      <c r="C256" s="2">
        <v>45198</v>
      </c>
      <c r="D256" t="s">
        <v>23</v>
      </c>
      <c r="E256" t="s">
        <v>33</v>
      </c>
      <c r="F256">
        <v>480</v>
      </c>
      <c r="G256">
        <v>221.85</v>
      </c>
      <c r="H256">
        <v>74.06</v>
      </c>
      <c r="I256">
        <f t="shared" si="6"/>
        <v>106488</v>
      </c>
      <c r="J256">
        <f t="shared" si="7"/>
        <v>70939.199999999997</v>
      </c>
      <c r="K256">
        <v>19</v>
      </c>
    </row>
    <row r="257" spans="1:11" x14ac:dyDescent="0.25">
      <c r="A257">
        <v>278</v>
      </c>
      <c r="B257" t="s">
        <v>284</v>
      </c>
      <c r="C257" s="2">
        <v>45199</v>
      </c>
      <c r="D257" t="s">
        <v>36</v>
      </c>
      <c r="E257" t="s">
        <v>33</v>
      </c>
      <c r="F257">
        <v>170</v>
      </c>
      <c r="G257">
        <v>242.03</v>
      </c>
      <c r="H257">
        <v>198.18</v>
      </c>
      <c r="I257">
        <f t="shared" si="6"/>
        <v>41145.1</v>
      </c>
      <c r="J257">
        <f t="shared" si="7"/>
        <v>7454.5</v>
      </c>
      <c r="K257">
        <v>62</v>
      </c>
    </row>
    <row r="258" spans="1:11" x14ac:dyDescent="0.25">
      <c r="A258">
        <v>279</v>
      </c>
      <c r="B258" t="s">
        <v>285</v>
      </c>
      <c r="C258" s="2">
        <v>45200</v>
      </c>
      <c r="D258" t="s">
        <v>12</v>
      </c>
      <c r="E258" t="s">
        <v>13</v>
      </c>
      <c r="F258">
        <v>265</v>
      </c>
      <c r="G258">
        <v>88.2</v>
      </c>
      <c r="H258">
        <v>69.48</v>
      </c>
      <c r="I258">
        <f t="shared" si="6"/>
        <v>23373</v>
      </c>
      <c r="J258">
        <f t="shared" si="7"/>
        <v>4960.7999999999993</v>
      </c>
      <c r="K258">
        <v>43</v>
      </c>
    </row>
    <row r="259" spans="1:11" x14ac:dyDescent="0.25">
      <c r="A259">
        <v>280</v>
      </c>
      <c r="B259" t="s">
        <v>286</v>
      </c>
      <c r="C259" s="2">
        <v>45201</v>
      </c>
      <c r="D259" t="s">
        <v>15</v>
      </c>
      <c r="E259" t="s">
        <v>16</v>
      </c>
      <c r="F259">
        <v>332</v>
      </c>
      <c r="G259">
        <v>57.34</v>
      </c>
      <c r="H259">
        <v>51.6</v>
      </c>
      <c r="I259">
        <f t="shared" ref="I259:I279" si="8">F259*G259</f>
        <v>19036.88</v>
      </c>
      <c r="J259">
        <f t="shared" ref="J259:J279" si="9" xml:space="preserve"> I259 - (F259 * H259)</f>
        <v>1905.6800000000003</v>
      </c>
      <c r="K259">
        <v>31</v>
      </c>
    </row>
    <row r="260" spans="1:11" x14ac:dyDescent="0.25">
      <c r="A260">
        <v>281</v>
      </c>
      <c r="B260" t="s">
        <v>287</v>
      </c>
      <c r="C260" s="2">
        <v>45202</v>
      </c>
      <c r="D260" t="s">
        <v>45</v>
      </c>
      <c r="E260" t="s">
        <v>33</v>
      </c>
      <c r="F260">
        <v>137</v>
      </c>
      <c r="G260">
        <v>226.43</v>
      </c>
      <c r="H260">
        <v>203.33</v>
      </c>
      <c r="I260">
        <f t="shared" si="8"/>
        <v>31020.91</v>
      </c>
      <c r="J260">
        <f t="shared" si="9"/>
        <v>3164.6999999999971</v>
      </c>
      <c r="K260">
        <v>68</v>
      </c>
    </row>
    <row r="261" spans="1:11" x14ac:dyDescent="0.25">
      <c r="A261">
        <v>282</v>
      </c>
      <c r="B261" t="s">
        <v>288</v>
      </c>
      <c r="C261" s="2">
        <v>45203</v>
      </c>
      <c r="D261" t="s">
        <v>36</v>
      </c>
      <c r="E261" t="s">
        <v>18</v>
      </c>
      <c r="F261">
        <v>27</v>
      </c>
      <c r="G261">
        <v>243.02</v>
      </c>
      <c r="H261">
        <v>153.88999999999999</v>
      </c>
      <c r="I261">
        <f t="shared" si="8"/>
        <v>6561.54</v>
      </c>
      <c r="J261">
        <f t="shared" si="9"/>
        <v>2406.5100000000002</v>
      </c>
      <c r="K261">
        <v>24</v>
      </c>
    </row>
    <row r="262" spans="1:11" x14ac:dyDescent="0.25">
      <c r="A262">
        <v>283</v>
      </c>
      <c r="B262" t="s">
        <v>289</v>
      </c>
      <c r="C262" s="2">
        <v>45204</v>
      </c>
      <c r="D262" t="s">
        <v>12</v>
      </c>
      <c r="E262" t="s">
        <v>13</v>
      </c>
      <c r="F262">
        <v>290</v>
      </c>
      <c r="G262">
        <v>297.2</v>
      </c>
      <c r="H262">
        <v>226.29</v>
      </c>
      <c r="I262">
        <f t="shared" si="8"/>
        <v>86188</v>
      </c>
      <c r="J262">
        <f t="shared" si="9"/>
        <v>20563.900000000009</v>
      </c>
      <c r="K262">
        <v>20</v>
      </c>
    </row>
    <row r="263" spans="1:11" x14ac:dyDescent="0.25">
      <c r="A263">
        <v>284</v>
      </c>
      <c r="B263" t="s">
        <v>290</v>
      </c>
      <c r="C263" s="2">
        <v>45205</v>
      </c>
      <c r="D263" t="s">
        <v>36</v>
      </c>
      <c r="E263" t="s">
        <v>33</v>
      </c>
      <c r="F263">
        <v>499</v>
      </c>
      <c r="G263">
        <v>126.72</v>
      </c>
      <c r="H263">
        <v>109.85</v>
      </c>
      <c r="I263">
        <f t="shared" si="8"/>
        <v>63233.279999999999</v>
      </c>
      <c r="J263">
        <f t="shared" si="9"/>
        <v>8418.1300000000047</v>
      </c>
      <c r="K263">
        <v>64</v>
      </c>
    </row>
    <row r="264" spans="1:11" x14ac:dyDescent="0.25">
      <c r="A264">
        <v>285</v>
      </c>
      <c r="B264" t="s">
        <v>291</v>
      </c>
      <c r="C264" s="2">
        <v>45206</v>
      </c>
      <c r="D264" t="s">
        <v>12</v>
      </c>
      <c r="E264" t="s">
        <v>18</v>
      </c>
      <c r="F264">
        <v>232</v>
      </c>
      <c r="G264">
        <v>114.75</v>
      </c>
      <c r="H264">
        <v>92.92</v>
      </c>
      <c r="I264">
        <f t="shared" si="8"/>
        <v>26622</v>
      </c>
      <c r="J264">
        <f t="shared" si="9"/>
        <v>5064.5600000000013</v>
      </c>
      <c r="K264">
        <v>40</v>
      </c>
    </row>
    <row r="265" spans="1:11" x14ac:dyDescent="0.25">
      <c r="A265">
        <v>286</v>
      </c>
      <c r="B265" t="s">
        <v>292</v>
      </c>
      <c r="C265" s="2">
        <v>45207</v>
      </c>
      <c r="D265" t="s">
        <v>12</v>
      </c>
      <c r="E265" t="s">
        <v>18</v>
      </c>
      <c r="F265">
        <v>63</v>
      </c>
      <c r="G265">
        <v>234.04</v>
      </c>
      <c r="H265">
        <v>104.95</v>
      </c>
      <c r="I265">
        <f t="shared" si="8"/>
        <v>14744.519999999999</v>
      </c>
      <c r="J265">
        <f t="shared" si="9"/>
        <v>8132.6699999999983</v>
      </c>
      <c r="K265">
        <v>63</v>
      </c>
    </row>
    <row r="266" spans="1:11" x14ac:dyDescent="0.25">
      <c r="A266">
        <v>287</v>
      </c>
      <c r="B266" t="s">
        <v>293</v>
      </c>
      <c r="C266" s="2">
        <v>45208</v>
      </c>
      <c r="D266" t="s">
        <v>15</v>
      </c>
      <c r="E266" t="s">
        <v>16</v>
      </c>
      <c r="F266">
        <v>67</v>
      </c>
      <c r="G266">
        <v>105.54</v>
      </c>
      <c r="H266">
        <v>60.19</v>
      </c>
      <c r="I266">
        <f t="shared" si="8"/>
        <v>7071.18</v>
      </c>
      <c r="J266">
        <f t="shared" si="9"/>
        <v>3038.4500000000003</v>
      </c>
      <c r="K266">
        <v>60</v>
      </c>
    </row>
    <row r="267" spans="1:11" x14ac:dyDescent="0.25">
      <c r="A267">
        <v>288</v>
      </c>
      <c r="B267" t="s">
        <v>294</v>
      </c>
      <c r="C267" s="2">
        <v>45209</v>
      </c>
      <c r="D267" t="s">
        <v>12</v>
      </c>
      <c r="E267" t="s">
        <v>13</v>
      </c>
      <c r="F267">
        <v>332</v>
      </c>
      <c r="G267">
        <v>279.57</v>
      </c>
      <c r="H267">
        <v>105.54</v>
      </c>
      <c r="I267">
        <f t="shared" si="8"/>
        <v>92817.239999999991</v>
      </c>
      <c r="J267">
        <f t="shared" si="9"/>
        <v>57777.959999999992</v>
      </c>
      <c r="K267">
        <v>64</v>
      </c>
    </row>
    <row r="268" spans="1:11" x14ac:dyDescent="0.25">
      <c r="A268">
        <v>289</v>
      </c>
      <c r="B268" t="s">
        <v>295</v>
      </c>
      <c r="C268" s="2">
        <v>45210</v>
      </c>
      <c r="D268" t="s">
        <v>36</v>
      </c>
      <c r="E268" t="s">
        <v>13</v>
      </c>
      <c r="F268">
        <v>369</v>
      </c>
      <c r="G268">
        <v>258.23</v>
      </c>
      <c r="H268">
        <v>225.29</v>
      </c>
      <c r="I268">
        <f t="shared" si="8"/>
        <v>95286.87000000001</v>
      </c>
      <c r="J268">
        <f t="shared" si="9"/>
        <v>12154.860000000015</v>
      </c>
      <c r="K268">
        <v>62</v>
      </c>
    </row>
    <row r="269" spans="1:11" x14ac:dyDescent="0.25">
      <c r="A269">
        <v>290</v>
      </c>
      <c r="B269" t="s">
        <v>296</v>
      </c>
      <c r="C269" s="2">
        <v>45211</v>
      </c>
      <c r="D269" t="s">
        <v>12</v>
      </c>
      <c r="E269" t="s">
        <v>16</v>
      </c>
      <c r="F269">
        <v>183</v>
      </c>
      <c r="G269">
        <v>131.55000000000001</v>
      </c>
      <c r="H269">
        <v>87.31</v>
      </c>
      <c r="I269">
        <f t="shared" si="8"/>
        <v>24073.65</v>
      </c>
      <c r="J269">
        <f t="shared" si="9"/>
        <v>8095.9200000000019</v>
      </c>
      <c r="K269">
        <v>35</v>
      </c>
    </row>
    <row r="270" spans="1:11" x14ac:dyDescent="0.25">
      <c r="A270">
        <v>291</v>
      </c>
      <c r="B270" t="s">
        <v>297</v>
      </c>
      <c r="C270" s="2">
        <v>45212</v>
      </c>
      <c r="D270" t="s">
        <v>15</v>
      </c>
      <c r="E270" t="s">
        <v>16</v>
      </c>
      <c r="F270">
        <v>289</v>
      </c>
      <c r="G270">
        <v>226.51</v>
      </c>
      <c r="H270">
        <v>99.03</v>
      </c>
      <c r="I270">
        <f t="shared" si="8"/>
        <v>65461.39</v>
      </c>
      <c r="J270">
        <f t="shared" si="9"/>
        <v>36841.72</v>
      </c>
      <c r="K270">
        <v>55</v>
      </c>
    </row>
    <row r="271" spans="1:11" x14ac:dyDescent="0.25">
      <c r="A271">
        <v>292</v>
      </c>
      <c r="B271" t="s">
        <v>298</v>
      </c>
      <c r="C271" s="2">
        <v>45213</v>
      </c>
      <c r="D271" t="s">
        <v>15</v>
      </c>
      <c r="E271" t="s">
        <v>13</v>
      </c>
      <c r="F271">
        <v>123</v>
      </c>
      <c r="G271">
        <v>227.59</v>
      </c>
      <c r="H271">
        <v>160</v>
      </c>
      <c r="I271">
        <f t="shared" si="8"/>
        <v>27993.57</v>
      </c>
      <c r="J271">
        <f t="shared" si="9"/>
        <v>8313.57</v>
      </c>
      <c r="K271">
        <v>52</v>
      </c>
    </row>
    <row r="272" spans="1:11" x14ac:dyDescent="0.25">
      <c r="A272">
        <v>293</v>
      </c>
      <c r="B272" t="s">
        <v>299</v>
      </c>
      <c r="C272" s="2">
        <v>45214</v>
      </c>
      <c r="D272" t="s">
        <v>36</v>
      </c>
      <c r="E272" t="s">
        <v>13</v>
      </c>
      <c r="F272">
        <v>297</v>
      </c>
      <c r="G272">
        <v>35.42</v>
      </c>
      <c r="H272">
        <v>23.76</v>
      </c>
      <c r="I272">
        <f t="shared" si="8"/>
        <v>10519.74</v>
      </c>
      <c r="J272">
        <f t="shared" si="9"/>
        <v>3463.0199999999995</v>
      </c>
      <c r="K272">
        <v>68</v>
      </c>
    </row>
    <row r="273" spans="1:11" x14ac:dyDescent="0.25">
      <c r="A273">
        <v>294</v>
      </c>
      <c r="B273" t="s">
        <v>300</v>
      </c>
      <c r="C273" s="2">
        <v>45215</v>
      </c>
      <c r="D273" t="s">
        <v>23</v>
      </c>
      <c r="E273" t="s">
        <v>33</v>
      </c>
      <c r="F273">
        <v>440</v>
      </c>
      <c r="G273">
        <v>271.25</v>
      </c>
      <c r="H273">
        <v>139.66999999999999</v>
      </c>
      <c r="I273">
        <f t="shared" si="8"/>
        <v>119350</v>
      </c>
      <c r="J273">
        <f t="shared" si="9"/>
        <v>57895.200000000004</v>
      </c>
      <c r="K273">
        <v>32</v>
      </c>
    </row>
    <row r="274" spans="1:11" x14ac:dyDescent="0.25">
      <c r="A274">
        <v>295</v>
      </c>
      <c r="B274" t="s">
        <v>301</v>
      </c>
      <c r="C274" s="2">
        <v>45216</v>
      </c>
      <c r="D274" t="s">
        <v>23</v>
      </c>
      <c r="E274" t="s">
        <v>33</v>
      </c>
      <c r="F274">
        <v>351</v>
      </c>
      <c r="G274">
        <v>154.05000000000001</v>
      </c>
      <c r="H274">
        <v>56.71</v>
      </c>
      <c r="I274">
        <f t="shared" si="8"/>
        <v>54071.55</v>
      </c>
      <c r="J274">
        <f t="shared" si="9"/>
        <v>34166.340000000004</v>
      </c>
      <c r="K274">
        <v>42</v>
      </c>
    </row>
    <row r="275" spans="1:11" x14ac:dyDescent="0.25">
      <c r="A275">
        <v>296</v>
      </c>
      <c r="B275" t="s">
        <v>302</v>
      </c>
      <c r="C275" s="2">
        <v>45217</v>
      </c>
      <c r="D275" t="s">
        <v>12</v>
      </c>
      <c r="E275" t="s">
        <v>16</v>
      </c>
      <c r="F275">
        <v>160</v>
      </c>
      <c r="G275">
        <v>248.8</v>
      </c>
      <c r="H275">
        <v>174.89</v>
      </c>
      <c r="I275">
        <f t="shared" si="8"/>
        <v>39808</v>
      </c>
      <c r="J275">
        <f t="shared" si="9"/>
        <v>11825.600000000002</v>
      </c>
      <c r="K275">
        <v>54</v>
      </c>
    </row>
    <row r="276" spans="1:11" x14ac:dyDescent="0.25">
      <c r="A276">
        <v>297</v>
      </c>
      <c r="B276" t="s">
        <v>303</v>
      </c>
      <c r="C276" s="2">
        <v>45218</v>
      </c>
      <c r="D276" t="s">
        <v>45</v>
      </c>
      <c r="E276" t="s">
        <v>33</v>
      </c>
      <c r="F276">
        <v>459</v>
      </c>
      <c r="G276">
        <v>99.41</v>
      </c>
      <c r="H276">
        <v>60.86</v>
      </c>
      <c r="I276">
        <f t="shared" si="8"/>
        <v>45629.189999999995</v>
      </c>
      <c r="J276">
        <f t="shared" si="9"/>
        <v>17694.449999999997</v>
      </c>
      <c r="K276">
        <v>45</v>
      </c>
    </row>
    <row r="277" spans="1:11" x14ac:dyDescent="0.25">
      <c r="A277">
        <v>298</v>
      </c>
      <c r="B277" t="s">
        <v>304</v>
      </c>
      <c r="C277" s="2">
        <v>45219</v>
      </c>
      <c r="D277" t="s">
        <v>12</v>
      </c>
      <c r="E277" t="s">
        <v>18</v>
      </c>
      <c r="F277">
        <v>136</v>
      </c>
      <c r="G277">
        <v>269.18</v>
      </c>
      <c r="H277">
        <v>205.49</v>
      </c>
      <c r="I277">
        <f t="shared" si="8"/>
        <v>36608.480000000003</v>
      </c>
      <c r="J277">
        <f t="shared" si="9"/>
        <v>8661.8400000000038</v>
      </c>
      <c r="K277">
        <v>27</v>
      </c>
    </row>
    <row r="278" spans="1:11" x14ac:dyDescent="0.25">
      <c r="A278">
        <v>299</v>
      </c>
      <c r="B278" t="s">
        <v>305</v>
      </c>
      <c r="C278" s="2">
        <v>45220</v>
      </c>
      <c r="D278" t="s">
        <v>36</v>
      </c>
      <c r="E278" t="s">
        <v>33</v>
      </c>
      <c r="F278">
        <v>164</v>
      </c>
      <c r="G278">
        <v>119.81</v>
      </c>
      <c r="H278">
        <v>73.34</v>
      </c>
      <c r="I278">
        <f t="shared" si="8"/>
        <v>19648.84</v>
      </c>
      <c r="J278">
        <f t="shared" si="9"/>
        <v>7621.08</v>
      </c>
      <c r="K278">
        <v>56</v>
      </c>
    </row>
    <row r="279" spans="1:11" x14ac:dyDescent="0.25">
      <c r="A279">
        <v>300</v>
      </c>
      <c r="B279" t="s">
        <v>306</v>
      </c>
      <c r="C279" s="2">
        <v>45221</v>
      </c>
      <c r="D279" t="s">
        <v>36</v>
      </c>
      <c r="E279" t="s">
        <v>33</v>
      </c>
      <c r="F279">
        <v>499</v>
      </c>
      <c r="G279">
        <v>8.1999999999999993</v>
      </c>
      <c r="H279">
        <v>6.65</v>
      </c>
      <c r="I279">
        <f t="shared" si="8"/>
        <v>4091.7999999999997</v>
      </c>
      <c r="J279">
        <f t="shared" si="9"/>
        <v>773.44999999999936</v>
      </c>
      <c r="K279">
        <v>34</v>
      </c>
    </row>
    <row r="287" spans="1:11" ht="21" x14ac:dyDescent="0.4">
      <c r="C287" s="10" t="s">
        <v>28</v>
      </c>
    </row>
  </sheetData>
  <mergeCells count="9">
    <mergeCell ref="M12:N12"/>
    <mergeCell ref="P12:Q12"/>
    <mergeCell ref="M19:N19"/>
    <mergeCell ref="M5:N5"/>
    <mergeCell ref="P5:Q5"/>
    <mergeCell ref="P6:Q6"/>
    <mergeCell ref="P8:Q8"/>
    <mergeCell ref="P9:Q9"/>
    <mergeCell ref="P11:Q1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46F7-8776-4C12-BCE3-35B854980C0B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Pivot Table 1</vt:lpstr>
      <vt:lpstr>Pivot Table 2</vt:lpstr>
      <vt:lpstr>Pivot Table 3</vt:lpstr>
      <vt:lpstr>Sheet after edit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 الرحمن متولى متولى على حسن</dc:creator>
  <cp:lastModifiedBy>p aqw</cp:lastModifiedBy>
  <dcterms:created xsi:type="dcterms:W3CDTF">2025-12-04T10:45:08Z</dcterms:created>
  <dcterms:modified xsi:type="dcterms:W3CDTF">2025-12-28T12:18:56Z</dcterms:modified>
</cp:coreProperties>
</file>